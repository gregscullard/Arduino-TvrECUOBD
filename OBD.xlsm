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0" yWindow="0" windowWidth="25600" windowHeight="15000" tabRatio="621" firstSheet="1" activeTab="3"/>
  </bookViews>
  <sheets>
    <sheet name="Mode 9 PIDS" sheetId="14" r:id="rId1"/>
    <sheet name="OBD PIDs" sheetId="2" r:id="rId2"/>
    <sheet name="MBE Responses Faults" sheetId="5" r:id="rId3"/>
    <sheet name="Values" sheetId="10" r:id="rId4"/>
    <sheet name="Diagnostics Reference" sheetId="12" r:id="rId5"/>
    <sheet name="OBD DTC" sheetId="13" r:id="rId6"/>
  </sheets>
  <definedNames>
    <definedName name="resources" localSheetId="5">'OBD DTC'!#REF!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258" i="10" l="1"/>
  <c r="AD257" i="10"/>
  <c r="AD256" i="10"/>
  <c r="AD255" i="10"/>
  <c r="AD254" i="10"/>
  <c r="AD253" i="10"/>
  <c r="AD252" i="10"/>
  <c r="AD251" i="10"/>
  <c r="AD250" i="10"/>
  <c r="AD249" i="10"/>
  <c r="AD248" i="10"/>
  <c r="AD247" i="10"/>
  <c r="AD246" i="10"/>
  <c r="AD245" i="10"/>
  <c r="AD244" i="10"/>
  <c r="AD243" i="10"/>
  <c r="AD242" i="10"/>
  <c r="AD241" i="10"/>
  <c r="AD240" i="10"/>
  <c r="AD239" i="10"/>
  <c r="AD238" i="10"/>
  <c r="AD237" i="10"/>
  <c r="AD236" i="10"/>
  <c r="AD235" i="10"/>
  <c r="AD234" i="10"/>
  <c r="AD233" i="10"/>
  <c r="AD232" i="10"/>
  <c r="AD231" i="10"/>
  <c r="AD230" i="10"/>
  <c r="AD229" i="10"/>
  <c r="AD228" i="10"/>
  <c r="AD227" i="10"/>
  <c r="AD226" i="10"/>
  <c r="AD225" i="10"/>
  <c r="AD224" i="10"/>
  <c r="AD223" i="10"/>
  <c r="AD222" i="10"/>
  <c r="AD221" i="10"/>
  <c r="AD220" i="10"/>
  <c r="AD219" i="10"/>
  <c r="AD218" i="10"/>
  <c r="AD217" i="10"/>
  <c r="AD216" i="10"/>
  <c r="AD215" i="10"/>
  <c r="AD214" i="10"/>
  <c r="AD213" i="10"/>
  <c r="AD212" i="10"/>
  <c r="AD211" i="10"/>
  <c r="AD210" i="10"/>
  <c r="AD209" i="10"/>
  <c r="AD208" i="10"/>
  <c r="AD207" i="10"/>
  <c r="AD206" i="10"/>
  <c r="AD205" i="10"/>
  <c r="AD204" i="10"/>
  <c r="AD203" i="10"/>
  <c r="AD202" i="10"/>
  <c r="AD201" i="10"/>
  <c r="AD200" i="10"/>
  <c r="AD199" i="10"/>
  <c r="AD198" i="10"/>
  <c r="AD197" i="10"/>
  <c r="AD196" i="10"/>
  <c r="AD195" i="10"/>
  <c r="AD194" i="10"/>
  <c r="AD193" i="10"/>
  <c r="AD192" i="10"/>
  <c r="AD191" i="10"/>
  <c r="AD190" i="10"/>
  <c r="AD189" i="10"/>
  <c r="AD188" i="10"/>
  <c r="AD187" i="10"/>
  <c r="AD186" i="10"/>
  <c r="AD185" i="10"/>
  <c r="AD184" i="10"/>
  <c r="AD183" i="10"/>
  <c r="AD182" i="10"/>
  <c r="AD181" i="10"/>
  <c r="AD180" i="10"/>
  <c r="AD179" i="10"/>
  <c r="AD178" i="10"/>
  <c r="AD177" i="10"/>
  <c r="AD176" i="10"/>
  <c r="AD175" i="10"/>
  <c r="AD174" i="10"/>
  <c r="AD173" i="10"/>
  <c r="AD172" i="10"/>
  <c r="AD171" i="10"/>
  <c r="AD170" i="10"/>
  <c r="AD169" i="10"/>
  <c r="AD168" i="10"/>
  <c r="AD167" i="10"/>
  <c r="AD166" i="10"/>
  <c r="AD165" i="10"/>
  <c r="AD164" i="10"/>
  <c r="AD163" i="10"/>
  <c r="AD162" i="10"/>
  <c r="AD161" i="10"/>
  <c r="AD160" i="10"/>
  <c r="AD159" i="10"/>
  <c r="AD158" i="10"/>
  <c r="AD157" i="10"/>
  <c r="AD156" i="10"/>
  <c r="AD155" i="10"/>
  <c r="AD154" i="10"/>
  <c r="AD153" i="10"/>
  <c r="AD152" i="10"/>
  <c r="AD151" i="10"/>
  <c r="AD150" i="10"/>
  <c r="AD149" i="10"/>
  <c r="AD148" i="10"/>
  <c r="AD147" i="10"/>
  <c r="AD146" i="10"/>
  <c r="AD145" i="10"/>
  <c r="AD144" i="10"/>
  <c r="AD143" i="10"/>
  <c r="AD142" i="10"/>
  <c r="AD141" i="10"/>
  <c r="AD140" i="10"/>
  <c r="AD139" i="10"/>
  <c r="AD138" i="10"/>
  <c r="AD137" i="10"/>
  <c r="AD136" i="10"/>
  <c r="AD135" i="10"/>
  <c r="AD134" i="10"/>
  <c r="AD133" i="10"/>
  <c r="AD132" i="10"/>
  <c r="AD131" i="10"/>
  <c r="AD130" i="10"/>
  <c r="AD129" i="10"/>
  <c r="AD128" i="10"/>
  <c r="AD127" i="10"/>
  <c r="AD126" i="10"/>
  <c r="AD125" i="10"/>
  <c r="AD124" i="10"/>
  <c r="AD123" i="10"/>
  <c r="AD122" i="10"/>
  <c r="AD121" i="10"/>
  <c r="AD120" i="10"/>
  <c r="AD119" i="10"/>
  <c r="AD118" i="10"/>
  <c r="AD117" i="10"/>
  <c r="AD116" i="10"/>
  <c r="AD115" i="10"/>
  <c r="AD114" i="10"/>
  <c r="AD113" i="10"/>
  <c r="AD112" i="10"/>
  <c r="AD111" i="10"/>
  <c r="AD110" i="10"/>
  <c r="AD109" i="10"/>
  <c r="AD108" i="10"/>
  <c r="AD107" i="10"/>
  <c r="AD106" i="10"/>
  <c r="AD105" i="10"/>
  <c r="AD104" i="10"/>
  <c r="AD103" i="10"/>
  <c r="AD102" i="10"/>
  <c r="AD101" i="10"/>
  <c r="AD100" i="10"/>
  <c r="AD99" i="10"/>
  <c r="AD98" i="10"/>
  <c r="AD97" i="10"/>
  <c r="AD96" i="10"/>
  <c r="AD95" i="10"/>
  <c r="AD94" i="10"/>
  <c r="AD93" i="10"/>
  <c r="AD92" i="10"/>
  <c r="AD91" i="10"/>
  <c r="AD90" i="10"/>
  <c r="AD89" i="10"/>
  <c r="AD88" i="10"/>
  <c r="AD87" i="10"/>
  <c r="AD86" i="10"/>
  <c r="AD85" i="10"/>
  <c r="AD84" i="10"/>
  <c r="AD83" i="10"/>
  <c r="AD82" i="10"/>
  <c r="AD81" i="10"/>
  <c r="AD80" i="10"/>
  <c r="AD79" i="10"/>
  <c r="AD78" i="10"/>
  <c r="AD77" i="10"/>
  <c r="AD76" i="10"/>
  <c r="AD75" i="10"/>
  <c r="AD74" i="10"/>
  <c r="AD73" i="10"/>
  <c r="AD72" i="10"/>
  <c r="AD71" i="10"/>
  <c r="AD70" i="10"/>
  <c r="AD69" i="10"/>
  <c r="AD68" i="10"/>
  <c r="AD67" i="10"/>
  <c r="AD66" i="10"/>
  <c r="AD65" i="10"/>
  <c r="AD64" i="10"/>
  <c r="AD63" i="10"/>
  <c r="AD62" i="10"/>
  <c r="AD61" i="10"/>
  <c r="AD60" i="10"/>
  <c r="AD59" i="10"/>
  <c r="AD58" i="10"/>
  <c r="AD57" i="10"/>
  <c r="AD56" i="10"/>
  <c r="AD55" i="10"/>
  <c r="AD54" i="10"/>
  <c r="AD53" i="10"/>
  <c r="AD52" i="10"/>
  <c r="AD51" i="10"/>
  <c r="AD50" i="10"/>
  <c r="AD49" i="10"/>
  <c r="AD48" i="10"/>
  <c r="AD47" i="10"/>
  <c r="AD46" i="10"/>
  <c r="AD45" i="10"/>
  <c r="AD44" i="10"/>
  <c r="AD43" i="10"/>
  <c r="AD42" i="10"/>
  <c r="AD41" i="10"/>
  <c r="AD40" i="10"/>
  <c r="AD39" i="10"/>
  <c r="AD38" i="10"/>
  <c r="AD37" i="10"/>
  <c r="AD36" i="10"/>
  <c r="AD35" i="10"/>
  <c r="AD34" i="10"/>
  <c r="AD33" i="10"/>
  <c r="AD32" i="10"/>
  <c r="AD31" i="10"/>
  <c r="AD30" i="10"/>
  <c r="AD29" i="10"/>
  <c r="AD28" i="10"/>
  <c r="AD27" i="10"/>
  <c r="AD26" i="10"/>
  <c r="AD25" i="10"/>
  <c r="AD24" i="10"/>
  <c r="AD23" i="10"/>
  <c r="AD22" i="10"/>
  <c r="AD21" i="10"/>
  <c r="AD20" i="10"/>
  <c r="AD19" i="10"/>
  <c r="AD18" i="10"/>
  <c r="AD17" i="10"/>
  <c r="AD16" i="10"/>
  <c r="AD15" i="10"/>
  <c r="AD14" i="10"/>
  <c r="AD13" i="10"/>
  <c r="AD12" i="10"/>
  <c r="AD11" i="10"/>
  <c r="AD10" i="10"/>
  <c r="AD9" i="10"/>
  <c r="AD8" i="10"/>
  <c r="AD7" i="10"/>
  <c r="AD6" i="10"/>
  <c r="AD5" i="10"/>
  <c r="AD4" i="10"/>
  <c r="AD3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12" i="10"/>
  <c r="AE213" i="10"/>
  <c r="AE214" i="10"/>
  <c r="AE215" i="10"/>
  <c r="AE216" i="10"/>
  <c r="AE217" i="10"/>
  <c r="AE218" i="10"/>
  <c r="AE219" i="10"/>
  <c r="AE220" i="10"/>
  <c r="AE221" i="10"/>
  <c r="AE222" i="10"/>
  <c r="AE223" i="10"/>
  <c r="AE224" i="10"/>
  <c r="AE225" i="10"/>
  <c r="AE226" i="10"/>
  <c r="AE227" i="10"/>
  <c r="AE228" i="10"/>
  <c r="AE229" i="10"/>
  <c r="AE230" i="10"/>
  <c r="AE231" i="10"/>
  <c r="AE232" i="10"/>
  <c r="AE233" i="10"/>
  <c r="AE234" i="10"/>
  <c r="AE235" i="10"/>
  <c r="AE236" i="10"/>
  <c r="AE237" i="10"/>
  <c r="AE238" i="10"/>
  <c r="AE239" i="10"/>
  <c r="AE240" i="10"/>
  <c r="AE241" i="10"/>
  <c r="AE242" i="10"/>
  <c r="AE243" i="10"/>
  <c r="AE244" i="10"/>
  <c r="AE245" i="10"/>
  <c r="AE246" i="10"/>
  <c r="AE247" i="10"/>
  <c r="AE248" i="10"/>
  <c r="AE249" i="10"/>
  <c r="AE250" i="10"/>
  <c r="AE251" i="10"/>
  <c r="AE252" i="10"/>
  <c r="AE253" i="10"/>
  <c r="AE254" i="10"/>
  <c r="AE255" i="10"/>
  <c r="AE256" i="10"/>
  <c r="AE257" i="10"/>
  <c r="AE258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3" i="10"/>
  <c r="AB4" i="10"/>
  <c r="AB5" i="10"/>
  <c r="AB6" i="10"/>
  <c r="AB7" i="10"/>
  <c r="AB8" i="10"/>
  <c r="AB9" i="10"/>
  <c r="AB10" i="10"/>
  <c r="AB11" i="10"/>
  <c r="AB12" i="10"/>
  <c r="AB13" i="10"/>
  <c r="AB14" i="10"/>
  <c r="AB15" i="10"/>
  <c r="AB16" i="10"/>
  <c r="AB17" i="10"/>
  <c r="AB18" i="10"/>
  <c r="AB19" i="10"/>
  <c r="AB20" i="10"/>
  <c r="AB21" i="10"/>
  <c r="AB22" i="10"/>
  <c r="AB23" i="10"/>
  <c r="AB24" i="10"/>
  <c r="AB25" i="10"/>
  <c r="AB26" i="10"/>
  <c r="AB27" i="10"/>
  <c r="AB28" i="10"/>
  <c r="AB29" i="10"/>
  <c r="AB30" i="10"/>
  <c r="AB31" i="10"/>
  <c r="AB32" i="10"/>
  <c r="AB33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3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1" i="10"/>
  <c r="AB72" i="10"/>
  <c r="AB73" i="10"/>
  <c r="AB74" i="10"/>
  <c r="AB75" i="10"/>
  <c r="AB76" i="10"/>
  <c r="AB77" i="10"/>
  <c r="AB78" i="10"/>
  <c r="AB79" i="10"/>
  <c r="AB80" i="10"/>
  <c r="AB81" i="10"/>
  <c r="AB82" i="10"/>
  <c r="AB83" i="10"/>
  <c r="AB84" i="10"/>
  <c r="AB85" i="10"/>
  <c r="AB86" i="10"/>
  <c r="AB87" i="10"/>
  <c r="AB88" i="10"/>
  <c r="AB89" i="10"/>
  <c r="AB90" i="10"/>
  <c r="AB91" i="10"/>
  <c r="AB92" i="10"/>
  <c r="AB93" i="10"/>
  <c r="AB94" i="10"/>
  <c r="AB95" i="10"/>
  <c r="AB96" i="10"/>
  <c r="AB97" i="10"/>
  <c r="AB98" i="10"/>
  <c r="AB99" i="10"/>
  <c r="AB100" i="10"/>
  <c r="AB101" i="10"/>
  <c r="AB102" i="10"/>
  <c r="AB103" i="10"/>
  <c r="AB104" i="10"/>
  <c r="AB105" i="10"/>
  <c r="AB106" i="10"/>
  <c r="AB107" i="10"/>
  <c r="AB108" i="10"/>
  <c r="AB109" i="10"/>
  <c r="AB110" i="10"/>
  <c r="AB111" i="10"/>
  <c r="AB112" i="10"/>
  <c r="AB113" i="10"/>
  <c r="AB114" i="10"/>
  <c r="AB115" i="10"/>
  <c r="AB116" i="10"/>
  <c r="AB117" i="10"/>
  <c r="AB118" i="10"/>
  <c r="AB119" i="10"/>
  <c r="AB120" i="10"/>
  <c r="AB121" i="10"/>
  <c r="AB122" i="10"/>
  <c r="AB123" i="10"/>
  <c r="AB124" i="10"/>
  <c r="AB125" i="10"/>
  <c r="AB126" i="10"/>
  <c r="AB127" i="10"/>
  <c r="AB128" i="10"/>
  <c r="AB129" i="10"/>
  <c r="AB130" i="10"/>
  <c r="AB131" i="10"/>
  <c r="AB132" i="10"/>
  <c r="AB133" i="10"/>
  <c r="AB134" i="10"/>
  <c r="AB135" i="10"/>
  <c r="AB136" i="10"/>
  <c r="AB137" i="10"/>
  <c r="AB138" i="10"/>
  <c r="AB139" i="10"/>
  <c r="AB140" i="10"/>
  <c r="AB141" i="10"/>
  <c r="AB142" i="10"/>
  <c r="AB143" i="10"/>
  <c r="AB144" i="10"/>
  <c r="AB145" i="10"/>
  <c r="AB146" i="10"/>
  <c r="AB147" i="10"/>
  <c r="AB148" i="10"/>
  <c r="AB149" i="10"/>
  <c r="AB150" i="10"/>
  <c r="AB151" i="10"/>
  <c r="AB152" i="10"/>
  <c r="AB153" i="10"/>
  <c r="AB154" i="10"/>
  <c r="AB155" i="10"/>
  <c r="AB156" i="10"/>
  <c r="AB157" i="10"/>
  <c r="AB158" i="10"/>
  <c r="AB159" i="10"/>
  <c r="AB160" i="10"/>
  <c r="AB161" i="10"/>
  <c r="AB162" i="10"/>
  <c r="AB163" i="10"/>
  <c r="AB164" i="10"/>
  <c r="AB165" i="10"/>
  <c r="AB166" i="10"/>
  <c r="AB167" i="10"/>
  <c r="AB168" i="10"/>
  <c r="AB169" i="10"/>
  <c r="AB170" i="10"/>
  <c r="AB171" i="10"/>
  <c r="AB172" i="10"/>
  <c r="AB173" i="10"/>
  <c r="AB174" i="10"/>
  <c r="AB175" i="10"/>
  <c r="AB176" i="10"/>
  <c r="AB177" i="10"/>
  <c r="AB178" i="10"/>
  <c r="AB179" i="10"/>
  <c r="AB180" i="10"/>
  <c r="AB181" i="10"/>
  <c r="AB182" i="10"/>
  <c r="AB183" i="10"/>
  <c r="AB184" i="10"/>
  <c r="AB185" i="10"/>
  <c r="AB186" i="10"/>
  <c r="AB187" i="10"/>
  <c r="AB188" i="10"/>
  <c r="AB189" i="10"/>
  <c r="AB190" i="10"/>
  <c r="AB191" i="10"/>
  <c r="AB192" i="10"/>
  <c r="AB193" i="10"/>
  <c r="AB194" i="10"/>
  <c r="AB195" i="10"/>
  <c r="AB196" i="10"/>
  <c r="AB197" i="10"/>
  <c r="AB198" i="10"/>
  <c r="AB199" i="10"/>
  <c r="AB200" i="10"/>
  <c r="AB201" i="10"/>
  <c r="AB202" i="10"/>
  <c r="AB203" i="10"/>
  <c r="AB204" i="10"/>
  <c r="AB205" i="10"/>
  <c r="AB206" i="10"/>
  <c r="AB207" i="10"/>
  <c r="AB208" i="10"/>
  <c r="AB209" i="10"/>
  <c r="AB210" i="10"/>
  <c r="AB211" i="10"/>
  <c r="AB212" i="10"/>
  <c r="AB213" i="10"/>
  <c r="AB214" i="10"/>
  <c r="AB215" i="10"/>
  <c r="AB216" i="10"/>
  <c r="AB217" i="10"/>
  <c r="AB218" i="10"/>
  <c r="AB219" i="10"/>
  <c r="AB220" i="10"/>
  <c r="AB221" i="10"/>
  <c r="AB222" i="10"/>
  <c r="AB223" i="10"/>
  <c r="AB224" i="10"/>
  <c r="AB225" i="10"/>
  <c r="AB226" i="10"/>
  <c r="AB227" i="10"/>
  <c r="AB228" i="10"/>
  <c r="AB229" i="10"/>
  <c r="AB230" i="10"/>
  <c r="AB231" i="10"/>
  <c r="AB232" i="10"/>
  <c r="AB233" i="10"/>
  <c r="AB234" i="10"/>
  <c r="AB235" i="10"/>
  <c r="AB236" i="10"/>
  <c r="AB237" i="10"/>
  <c r="AB238" i="10"/>
  <c r="AB239" i="10"/>
  <c r="AB240" i="10"/>
  <c r="AB241" i="10"/>
  <c r="AB242" i="10"/>
  <c r="AB243" i="10"/>
  <c r="AB244" i="10"/>
  <c r="AB245" i="10"/>
  <c r="AB246" i="10"/>
  <c r="AB247" i="10"/>
  <c r="AB248" i="10"/>
  <c r="AB249" i="10"/>
  <c r="AB250" i="10"/>
  <c r="AB251" i="10"/>
  <c r="AB252" i="10"/>
  <c r="AB253" i="10"/>
  <c r="AB254" i="10"/>
  <c r="AB255" i="10"/>
  <c r="AB256" i="10"/>
  <c r="AB257" i="10"/>
  <c r="AB258" i="10"/>
  <c r="AB3" i="10"/>
  <c r="X244" i="10"/>
  <c r="Y244" i="10"/>
  <c r="Z244" i="10"/>
  <c r="X245" i="10"/>
  <c r="Y245" i="10"/>
  <c r="Z245" i="10"/>
  <c r="X246" i="10"/>
  <c r="Y246" i="10"/>
  <c r="Z246" i="10"/>
  <c r="X247" i="10"/>
  <c r="Y247" i="10"/>
  <c r="Z247" i="10"/>
  <c r="X248" i="10"/>
  <c r="Y248" i="10"/>
  <c r="Z248" i="10"/>
  <c r="X249" i="10"/>
  <c r="Y249" i="10"/>
  <c r="Z249" i="10"/>
  <c r="X250" i="10"/>
  <c r="Y250" i="10"/>
  <c r="Z250" i="10"/>
  <c r="X251" i="10"/>
  <c r="Y251" i="10"/>
  <c r="Z251" i="10"/>
  <c r="X252" i="10"/>
  <c r="Y252" i="10"/>
  <c r="Z252" i="10"/>
  <c r="X253" i="10"/>
  <c r="Y253" i="10"/>
  <c r="Z253" i="10"/>
  <c r="X254" i="10"/>
  <c r="Y254" i="10"/>
  <c r="Z254" i="10"/>
  <c r="X255" i="10"/>
  <c r="Y255" i="10"/>
  <c r="Z255" i="10"/>
  <c r="X256" i="10"/>
  <c r="Y256" i="10"/>
  <c r="Z256" i="10"/>
  <c r="X257" i="10"/>
  <c r="Y257" i="10"/>
  <c r="Z257" i="10"/>
  <c r="X258" i="10"/>
  <c r="Y258" i="10"/>
  <c r="Z258" i="10"/>
  <c r="T244" i="10"/>
  <c r="U244" i="10"/>
  <c r="V244" i="10"/>
  <c r="T245" i="10"/>
  <c r="U245" i="10"/>
  <c r="V245" i="10"/>
  <c r="T246" i="10"/>
  <c r="U246" i="10"/>
  <c r="V246" i="10"/>
  <c r="T247" i="10"/>
  <c r="U247" i="10"/>
  <c r="V247" i="10"/>
  <c r="T248" i="10"/>
  <c r="U248" i="10"/>
  <c r="V248" i="10"/>
  <c r="T249" i="10"/>
  <c r="U249" i="10"/>
  <c r="V249" i="10"/>
  <c r="T250" i="10"/>
  <c r="U250" i="10"/>
  <c r="V250" i="10"/>
  <c r="T251" i="10"/>
  <c r="U251" i="10"/>
  <c r="V251" i="10"/>
  <c r="T252" i="10"/>
  <c r="U252" i="10"/>
  <c r="V252" i="10"/>
  <c r="T253" i="10"/>
  <c r="U253" i="10"/>
  <c r="V253" i="10"/>
  <c r="T254" i="10"/>
  <c r="U254" i="10"/>
  <c r="V254" i="10"/>
  <c r="T255" i="10"/>
  <c r="U255" i="10"/>
  <c r="V255" i="10"/>
  <c r="T256" i="10"/>
  <c r="U256" i="10"/>
  <c r="V256" i="10"/>
  <c r="T257" i="10"/>
  <c r="U257" i="10"/>
  <c r="V257" i="10"/>
  <c r="T258" i="10"/>
  <c r="U258" i="10"/>
  <c r="V258" i="10"/>
  <c r="X243" i="10"/>
  <c r="Y243" i="10"/>
  <c r="Z243" i="10"/>
  <c r="X242" i="10"/>
  <c r="Y242" i="10"/>
  <c r="Z242" i="10"/>
  <c r="X241" i="10"/>
  <c r="Y241" i="10"/>
  <c r="Z241" i="10"/>
  <c r="X240" i="10"/>
  <c r="Y240" i="10"/>
  <c r="Z240" i="10"/>
  <c r="X239" i="10"/>
  <c r="Y239" i="10"/>
  <c r="Z239" i="10"/>
  <c r="X238" i="10"/>
  <c r="Y238" i="10"/>
  <c r="Z238" i="10"/>
  <c r="X237" i="10"/>
  <c r="Y237" i="10"/>
  <c r="Z237" i="10"/>
  <c r="X236" i="10"/>
  <c r="Y236" i="10"/>
  <c r="Z236" i="10"/>
  <c r="X235" i="10"/>
  <c r="Y235" i="10"/>
  <c r="Z235" i="10"/>
  <c r="X234" i="10"/>
  <c r="Y234" i="10"/>
  <c r="Z234" i="10"/>
  <c r="X233" i="10"/>
  <c r="Y233" i="10"/>
  <c r="Z233" i="10"/>
  <c r="X232" i="10"/>
  <c r="Y232" i="10"/>
  <c r="Z232" i="10"/>
  <c r="X231" i="10"/>
  <c r="Y231" i="10"/>
  <c r="Z231" i="10"/>
  <c r="X230" i="10"/>
  <c r="Y230" i="10"/>
  <c r="Z230" i="10"/>
  <c r="X229" i="10"/>
  <c r="Y229" i="10"/>
  <c r="Z229" i="10"/>
  <c r="X228" i="10"/>
  <c r="Y228" i="10"/>
  <c r="Z228" i="10"/>
  <c r="X227" i="10"/>
  <c r="Y227" i="10"/>
  <c r="Z227" i="10"/>
  <c r="X226" i="10"/>
  <c r="Y226" i="10"/>
  <c r="Z226" i="10"/>
  <c r="X225" i="10"/>
  <c r="Y225" i="10"/>
  <c r="Z225" i="10"/>
  <c r="X224" i="10"/>
  <c r="Y224" i="10"/>
  <c r="Z224" i="10"/>
  <c r="X223" i="10"/>
  <c r="Y223" i="10"/>
  <c r="Z223" i="10"/>
  <c r="X222" i="10"/>
  <c r="Y222" i="10"/>
  <c r="Z222" i="10"/>
  <c r="X221" i="10"/>
  <c r="Y221" i="10"/>
  <c r="Z221" i="10"/>
  <c r="X220" i="10"/>
  <c r="Y220" i="10"/>
  <c r="Z220" i="10"/>
  <c r="X219" i="10"/>
  <c r="Y219" i="10"/>
  <c r="Z219" i="10"/>
  <c r="X218" i="10"/>
  <c r="Y218" i="10"/>
  <c r="Z218" i="10"/>
  <c r="X217" i="10"/>
  <c r="Y217" i="10"/>
  <c r="Z217" i="10"/>
  <c r="X216" i="10"/>
  <c r="Y216" i="10"/>
  <c r="Z216" i="10"/>
  <c r="X215" i="10"/>
  <c r="Y215" i="10"/>
  <c r="Z215" i="10"/>
  <c r="X214" i="10"/>
  <c r="Y214" i="10"/>
  <c r="Z214" i="10"/>
  <c r="X213" i="10"/>
  <c r="Y213" i="10"/>
  <c r="Z213" i="10"/>
  <c r="X212" i="10"/>
  <c r="Y212" i="10"/>
  <c r="Z212" i="10"/>
  <c r="X211" i="10"/>
  <c r="Y211" i="10"/>
  <c r="Z211" i="10"/>
  <c r="X210" i="10"/>
  <c r="Y210" i="10"/>
  <c r="Z210" i="10"/>
  <c r="X209" i="10"/>
  <c r="Y209" i="10"/>
  <c r="Z209" i="10"/>
  <c r="X208" i="10"/>
  <c r="Y208" i="10"/>
  <c r="Z208" i="10"/>
  <c r="X207" i="10"/>
  <c r="Y207" i="10"/>
  <c r="Z207" i="10"/>
  <c r="X206" i="10"/>
  <c r="Y206" i="10"/>
  <c r="Z206" i="10"/>
  <c r="X205" i="10"/>
  <c r="Y205" i="10"/>
  <c r="Z205" i="10"/>
  <c r="X204" i="10"/>
  <c r="Y204" i="10"/>
  <c r="Z204" i="10"/>
  <c r="X203" i="10"/>
  <c r="Y203" i="10"/>
  <c r="Z203" i="10"/>
  <c r="X202" i="10"/>
  <c r="Y202" i="10"/>
  <c r="Z202" i="10"/>
  <c r="X201" i="10"/>
  <c r="Y201" i="10"/>
  <c r="Z201" i="10"/>
  <c r="X200" i="10"/>
  <c r="Y200" i="10"/>
  <c r="Z200" i="10"/>
  <c r="X199" i="10"/>
  <c r="Y199" i="10"/>
  <c r="Z199" i="10"/>
  <c r="X198" i="10"/>
  <c r="Y198" i="10"/>
  <c r="Z198" i="10"/>
  <c r="X197" i="10"/>
  <c r="Y197" i="10"/>
  <c r="Z197" i="10"/>
  <c r="X196" i="10"/>
  <c r="Y196" i="10"/>
  <c r="Z196" i="10"/>
  <c r="X195" i="10"/>
  <c r="Y195" i="10"/>
  <c r="Z195" i="10"/>
  <c r="X194" i="10"/>
  <c r="Y194" i="10"/>
  <c r="Z194" i="10"/>
  <c r="X193" i="10"/>
  <c r="Y193" i="10"/>
  <c r="Z193" i="10"/>
  <c r="X192" i="10"/>
  <c r="Y192" i="10"/>
  <c r="Z192" i="10"/>
  <c r="X191" i="10"/>
  <c r="Y191" i="10"/>
  <c r="Z191" i="10"/>
  <c r="X190" i="10"/>
  <c r="Y190" i="10"/>
  <c r="Z190" i="10"/>
  <c r="X189" i="10"/>
  <c r="Y189" i="10"/>
  <c r="Z189" i="10"/>
  <c r="X188" i="10"/>
  <c r="Y188" i="10"/>
  <c r="Z188" i="10"/>
  <c r="X187" i="10"/>
  <c r="Y187" i="10"/>
  <c r="Z187" i="10"/>
  <c r="X186" i="10"/>
  <c r="Y186" i="10"/>
  <c r="Z186" i="10"/>
  <c r="X185" i="10"/>
  <c r="Y185" i="10"/>
  <c r="Z185" i="10"/>
  <c r="X184" i="10"/>
  <c r="Y184" i="10"/>
  <c r="Z184" i="10"/>
  <c r="X183" i="10"/>
  <c r="Y183" i="10"/>
  <c r="Z183" i="10"/>
  <c r="X182" i="10"/>
  <c r="Y182" i="10"/>
  <c r="Z182" i="10"/>
  <c r="X181" i="10"/>
  <c r="Y181" i="10"/>
  <c r="Z181" i="10"/>
  <c r="X180" i="10"/>
  <c r="Y180" i="10"/>
  <c r="Z180" i="10"/>
  <c r="X179" i="10"/>
  <c r="Y179" i="10"/>
  <c r="Z179" i="10"/>
  <c r="X178" i="10"/>
  <c r="Y178" i="10"/>
  <c r="Z178" i="10"/>
  <c r="X177" i="10"/>
  <c r="Y177" i="10"/>
  <c r="Z177" i="10"/>
  <c r="X176" i="10"/>
  <c r="Y176" i="10"/>
  <c r="Z176" i="10"/>
  <c r="X175" i="10"/>
  <c r="Y175" i="10"/>
  <c r="Z175" i="10"/>
  <c r="X174" i="10"/>
  <c r="Y174" i="10"/>
  <c r="Z174" i="10"/>
  <c r="X173" i="10"/>
  <c r="Y173" i="10"/>
  <c r="Z173" i="10"/>
  <c r="X172" i="10"/>
  <c r="Y172" i="10"/>
  <c r="Z172" i="10"/>
  <c r="X171" i="10"/>
  <c r="Y171" i="10"/>
  <c r="Z171" i="10"/>
  <c r="X170" i="10"/>
  <c r="Y170" i="10"/>
  <c r="Z170" i="10"/>
  <c r="X169" i="10"/>
  <c r="Y169" i="10"/>
  <c r="Z169" i="10"/>
  <c r="X168" i="10"/>
  <c r="Y168" i="10"/>
  <c r="Z168" i="10"/>
  <c r="X167" i="10"/>
  <c r="Y167" i="10"/>
  <c r="Z167" i="10"/>
  <c r="X166" i="10"/>
  <c r="Y166" i="10"/>
  <c r="Z166" i="10"/>
  <c r="X165" i="10"/>
  <c r="Y165" i="10"/>
  <c r="Z165" i="10"/>
  <c r="X164" i="10"/>
  <c r="Y164" i="10"/>
  <c r="Z164" i="10"/>
  <c r="X163" i="10"/>
  <c r="Y163" i="10"/>
  <c r="Z163" i="10"/>
  <c r="X162" i="10"/>
  <c r="Y162" i="10"/>
  <c r="Z162" i="10"/>
  <c r="X161" i="10"/>
  <c r="Y161" i="10"/>
  <c r="Z161" i="10"/>
  <c r="X160" i="10"/>
  <c r="Y160" i="10"/>
  <c r="Z160" i="10"/>
  <c r="X159" i="10"/>
  <c r="Y159" i="10"/>
  <c r="Z159" i="10"/>
  <c r="X158" i="10"/>
  <c r="Y158" i="10"/>
  <c r="Z158" i="10"/>
  <c r="X157" i="10"/>
  <c r="Y157" i="10"/>
  <c r="Z157" i="10"/>
  <c r="X156" i="10"/>
  <c r="Y156" i="10"/>
  <c r="Z156" i="10"/>
  <c r="X155" i="10"/>
  <c r="Y155" i="10"/>
  <c r="Z155" i="10"/>
  <c r="X154" i="10"/>
  <c r="Y154" i="10"/>
  <c r="Z154" i="10"/>
  <c r="X153" i="10"/>
  <c r="Y153" i="10"/>
  <c r="Z153" i="10"/>
  <c r="X152" i="10"/>
  <c r="Y152" i="10"/>
  <c r="Z152" i="10"/>
  <c r="X151" i="10"/>
  <c r="Y151" i="10"/>
  <c r="Z151" i="10"/>
  <c r="X150" i="10"/>
  <c r="Y150" i="10"/>
  <c r="Z150" i="10"/>
  <c r="X149" i="10"/>
  <c r="Y149" i="10"/>
  <c r="Z149" i="10"/>
  <c r="X148" i="10"/>
  <c r="Y148" i="10"/>
  <c r="Z148" i="10"/>
  <c r="X147" i="10"/>
  <c r="Y147" i="10"/>
  <c r="Z147" i="10"/>
  <c r="X146" i="10"/>
  <c r="Y146" i="10"/>
  <c r="Z146" i="10"/>
  <c r="X145" i="10"/>
  <c r="Y145" i="10"/>
  <c r="Z145" i="10"/>
  <c r="X144" i="10"/>
  <c r="Y144" i="10"/>
  <c r="Z144" i="10"/>
  <c r="X143" i="10"/>
  <c r="Y143" i="10"/>
  <c r="Z143" i="10"/>
  <c r="X142" i="10"/>
  <c r="Y142" i="10"/>
  <c r="Z142" i="10"/>
  <c r="X141" i="10"/>
  <c r="Y141" i="10"/>
  <c r="Z141" i="10"/>
  <c r="X140" i="10"/>
  <c r="Y140" i="10"/>
  <c r="Z140" i="10"/>
  <c r="X139" i="10"/>
  <c r="Y139" i="10"/>
  <c r="Z139" i="10"/>
  <c r="X138" i="10"/>
  <c r="Y138" i="10"/>
  <c r="Z138" i="10"/>
  <c r="X137" i="10"/>
  <c r="Y137" i="10"/>
  <c r="Z137" i="10"/>
  <c r="X136" i="10"/>
  <c r="Y136" i="10"/>
  <c r="Z136" i="10"/>
  <c r="X135" i="10"/>
  <c r="Y135" i="10"/>
  <c r="Z135" i="10"/>
  <c r="X134" i="10"/>
  <c r="Y134" i="10"/>
  <c r="Z134" i="10"/>
  <c r="X133" i="10"/>
  <c r="Y133" i="10"/>
  <c r="Z133" i="10"/>
  <c r="X132" i="10"/>
  <c r="Y132" i="10"/>
  <c r="Z132" i="10"/>
  <c r="X131" i="10"/>
  <c r="Y131" i="10"/>
  <c r="Z131" i="10"/>
  <c r="X130" i="10"/>
  <c r="Y130" i="10"/>
  <c r="Z130" i="10"/>
  <c r="X129" i="10"/>
  <c r="Y129" i="10"/>
  <c r="Z129" i="10"/>
  <c r="X128" i="10"/>
  <c r="Y128" i="10"/>
  <c r="Z128" i="10"/>
  <c r="X127" i="10"/>
  <c r="Y127" i="10"/>
  <c r="Z127" i="10"/>
  <c r="X126" i="10"/>
  <c r="Y126" i="10"/>
  <c r="Z126" i="10"/>
  <c r="X125" i="10"/>
  <c r="Y125" i="10"/>
  <c r="Z125" i="10"/>
  <c r="X124" i="10"/>
  <c r="Y124" i="10"/>
  <c r="Z124" i="10"/>
  <c r="X123" i="10"/>
  <c r="Y123" i="10"/>
  <c r="Z123" i="10"/>
  <c r="X122" i="10"/>
  <c r="Y122" i="10"/>
  <c r="Z122" i="10"/>
  <c r="X121" i="10"/>
  <c r="Y121" i="10"/>
  <c r="Z121" i="10"/>
  <c r="X120" i="10"/>
  <c r="Y120" i="10"/>
  <c r="Z120" i="10"/>
  <c r="X119" i="10"/>
  <c r="Y119" i="10"/>
  <c r="Z119" i="10"/>
  <c r="X118" i="10"/>
  <c r="Y118" i="10"/>
  <c r="Z118" i="10"/>
  <c r="X117" i="10"/>
  <c r="Y117" i="10"/>
  <c r="Z117" i="10"/>
  <c r="X116" i="10"/>
  <c r="Y116" i="10"/>
  <c r="Z116" i="10"/>
  <c r="X115" i="10"/>
  <c r="Y115" i="10"/>
  <c r="Z115" i="10"/>
  <c r="X114" i="10"/>
  <c r="Y114" i="10"/>
  <c r="Z114" i="10"/>
  <c r="X113" i="10"/>
  <c r="Y113" i="10"/>
  <c r="Z113" i="10"/>
  <c r="X112" i="10"/>
  <c r="Y112" i="10"/>
  <c r="Z112" i="10"/>
  <c r="X111" i="10"/>
  <c r="Y111" i="10"/>
  <c r="Z111" i="10"/>
  <c r="X110" i="10"/>
  <c r="Y110" i="10"/>
  <c r="Z110" i="10"/>
  <c r="X109" i="10"/>
  <c r="Y109" i="10"/>
  <c r="Z109" i="10"/>
  <c r="X108" i="10"/>
  <c r="Y108" i="10"/>
  <c r="Z108" i="10"/>
  <c r="X107" i="10"/>
  <c r="Y107" i="10"/>
  <c r="Z107" i="10"/>
  <c r="X106" i="10"/>
  <c r="Y106" i="10"/>
  <c r="Z106" i="10"/>
  <c r="X105" i="10"/>
  <c r="Y105" i="10"/>
  <c r="Z105" i="10"/>
  <c r="X104" i="10"/>
  <c r="Y104" i="10"/>
  <c r="Z104" i="10"/>
  <c r="X103" i="10"/>
  <c r="Y103" i="10"/>
  <c r="Z103" i="10"/>
  <c r="X102" i="10"/>
  <c r="Y102" i="10"/>
  <c r="Z102" i="10"/>
  <c r="X101" i="10"/>
  <c r="Y101" i="10"/>
  <c r="Z101" i="10"/>
  <c r="X100" i="10"/>
  <c r="Y100" i="10"/>
  <c r="Z100" i="10"/>
  <c r="X99" i="10"/>
  <c r="Y99" i="10"/>
  <c r="Z99" i="10"/>
  <c r="X98" i="10"/>
  <c r="Y98" i="10"/>
  <c r="Z98" i="10"/>
  <c r="X97" i="10"/>
  <c r="Y97" i="10"/>
  <c r="Z97" i="10"/>
  <c r="X96" i="10"/>
  <c r="Y96" i="10"/>
  <c r="Z96" i="10"/>
  <c r="X95" i="10"/>
  <c r="Y95" i="10"/>
  <c r="Z95" i="10"/>
  <c r="X94" i="10"/>
  <c r="Y94" i="10"/>
  <c r="Z94" i="10"/>
  <c r="X93" i="10"/>
  <c r="Y93" i="10"/>
  <c r="Z93" i="10"/>
  <c r="X92" i="10"/>
  <c r="Y92" i="10"/>
  <c r="Z92" i="10"/>
  <c r="X91" i="10"/>
  <c r="Y91" i="10"/>
  <c r="Z91" i="10"/>
  <c r="X90" i="10"/>
  <c r="Y90" i="10"/>
  <c r="Z90" i="10"/>
  <c r="X89" i="10"/>
  <c r="Y89" i="10"/>
  <c r="Z89" i="10"/>
  <c r="X88" i="10"/>
  <c r="Y88" i="10"/>
  <c r="Z88" i="10"/>
  <c r="X87" i="10"/>
  <c r="Y87" i="10"/>
  <c r="Z87" i="10"/>
  <c r="X86" i="10"/>
  <c r="Y86" i="10"/>
  <c r="Z86" i="10"/>
  <c r="X85" i="10"/>
  <c r="Y85" i="10"/>
  <c r="Z85" i="10"/>
  <c r="X84" i="10"/>
  <c r="Y84" i="10"/>
  <c r="Z84" i="10"/>
  <c r="X83" i="10"/>
  <c r="Y83" i="10"/>
  <c r="Z83" i="10"/>
  <c r="X82" i="10"/>
  <c r="Y82" i="10"/>
  <c r="Z82" i="10"/>
  <c r="X81" i="10"/>
  <c r="Y81" i="10"/>
  <c r="Z81" i="10"/>
  <c r="X80" i="10"/>
  <c r="Y80" i="10"/>
  <c r="Z80" i="10"/>
  <c r="X79" i="10"/>
  <c r="Y79" i="10"/>
  <c r="Z79" i="10"/>
  <c r="X78" i="10"/>
  <c r="Y78" i="10"/>
  <c r="Z78" i="10"/>
  <c r="X77" i="10"/>
  <c r="Y77" i="10"/>
  <c r="Z77" i="10"/>
  <c r="X76" i="10"/>
  <c r="Y76" i="10"/>
  <c r="Z76" i="10"/>
  <c r="X75" i="10"/>
  <c r="Y75" i="10"/>
  <c r="Z75" i="10"/>
  <c r="X74" i="10"/>
  <c r="Y74" i="10"/>
  <c r="Z74" i="10"/>
  <c r="X73" i="10"/>
  <c r="Y73" i="10"/>
  <c r="Z73" i="10"/>
  <c r="X72" i="10"/>
  <c r="Y72" i="10"/>
  <c r="Z72" i="10"/>
  <c r="X71" i="10"/>
  <c r="Y71" i="10"/>
  <c r="Z71" i="10"/>
  <c r="X70" i="10"/>
  <c r="Y70" i="10"/>
  <c r="Z70" i="10"/>
  <c r="X69" i="10"/>
  <c r="Y69" i="10"/>
  <c r="Z69" i="10"/>
  <c r="X68" i="10"/>
  <c r="Y68" i="10"/>
  <c r="Z68" i="10"/>
  <c r="X67" i="10"/>
  <c r="Y67" i="10"/>
  <c r="Z67" i="10"/>
  <c r="X66" i="10"/>
  <c r="Y66" i="10"/>
  <c r="Z66" i="10"/>
  <c r="X65" i="10"/>
  <c r="Y65" i="10"/>
  <c r="Z65" i="10"/>
  <c r="X64" i="10"/>
  <c r="Y64" i="10"/>
  <c r="Z64" i="10"/>
  <c r="X63" i="10"/>
  <c r="Y63" i="10"/>
  <c r="Z63" i="10"/>
  <c r="X62" i="10"/>
  <c r="Y62" i="10"/>
  <c r="Z62" i="10"/>
  <c r="X61" i="10"/>
  <c r="Y61" i="10"/>
  <c r="Z61" i="10"/>
  <c r="X60" i="10"/>
  <c r="Y60" i="10"/>
  <c r="Z60" i="10"/>
  <c r="X59" i="10"/>
  <c r="Y59" i="10"/>
  <c r="Z59" i="10"/>
  <c r="X58" i="10"/>
  <c r="Y58" i="10"/>
  <c r="Z58" i="10"/>
  <c r="X57" i="10"/>
  <c r="Y57" i="10"/>
  <c r="Z57" i="10"/>
  <c r="X56" i="10"/>
  <c r="Y56" i="10"/>
  <c r="Z56" i="10"/>
  <c r="X55" i="10"/>
  <c r="Y55" i="10"/>
  <c r="Z55" i="10"/>
  <c r="X54" i="10"/>
  <c r="Y54" i="10"/>
  <c r="Z54" i="10"/>
  <c r="X53" i="10"/>
  <c r="Y53" i="10"/>
  <c r="Z53" i="10"/>
  <c r="X52" i="10"/>
  <c r="Y52" i="10"/>
  <c r="Z52" i="10"/>
  <c r="X51" i="10"/>
  <c r="Y51" i="10"/>
  <c r="Z51" i="10"/>
  <c r="X50" i="10"/>
  <c r="Y50" i="10"/>
  <c r="Z50" i="10"/>
  <c r="X49" i="10"/>
  <c r="Y49" i="10"/>
  <c r="Z49" i="10"/>
  <c r="X48" i="10"/>
  <c r="Y48" i="10"/>
  <c r="Z48" i="10"/>
  <c r="X47" i="10"/>
  <c r="Y47" i="10"/>
  <c r="Z47" i="10"/>
  <c r="X46" i="10"/>
  <c r="Y46" i="10"/>
  <c r="Z46" i="10"/>
  <c r="X45" i="10"/>
  <c r="Y45" i="10"/>
  <c r="Z45" i="10"/>
  <c r="X44" i="10"/>
  <c r="Y44" i="10"/>
  <c r="Z44" i="10"/>
  <c r="X43" i="10"/>
  <c r="Y43" i="10"/>
  <c r="Z43" i="10"/>
  <c r="X42" i="10"/>
  <c r="Y42" i="10"/>
  <c r="Z42" i="10"/>
  <c r="X41" i="10"/>
  <c r="Y41" i="10"/>
  <c r="Z41" i="10"/>
  <c r="X40" i="10"/>
  <c r="Y40" i="10"/>
  <c r="Z40" i="10"/>
  <c r="X39" i="10"/>
  <c r="Y39" i="10"/>
  <c r="Z39" i="10"/>
  <c r="X38" i="10"/>
  <c r="Y38" i="10"/>
  <c r="Z38" i="10"/>
  <c r="X37" i="10"/>
  <c r="Y37" i="10"/>
  <c r="Z37" i="10"/>
  <c r="X36" i="10"/>
  <c r="Y36" i="10"/>
  <c r="Z36" i="10"/>
  <c r="X35" i="10"/>
  <c r="Y35" i="10"/>
  <c r="Z35" i="10"/>
  <c r="X34" i="10"/>
  <c r="Y34" i="10"/>
  <c r="Z34" i="10"/>
  <c r="X33" i="10"/>
  <c r="Y33" i="10"/>
  <c r="Z33" i="10"/>
  <c r="X32" i="10"/>
  <c r="Y32" i="10"/>
  <c r="Z32" i="10"/>
  <c r="X31" i="10"/>
  <c r="Y31" i="10"/>
  <c r="Z31" i="10"/>
  <c r="X30" i="10"/>
  <c r="Y30" i="10"/>
  <c r="Z30" i="10"/>
  <c r="X29" i="10"/>
  <c r="Y29" i="10"/>
  <c r="Z29" i="10"/>
  <c r="X28" i="10"/>
  <c r="Y28" i="10"/>
  <c r="Z28" i="10"/>
  <c r="X27" i="10"/>
  <c r="Y27" i="10"/>
  <c r="Z27" i="10"/>
  <c r="X26" i="10"/>
  <c r="Y26" i="10"/>
  <c r="Z26" i="10"/>
  <c r="X25" i="10"/>
  <c r="Y25" i="10"/>
  <c r="Z25" i="10"/>
  <c r="X24" i="10"/>
  <c r="Y24" i="10"/>
  <c r="Z24" i="10"/>
  <c r="X23" i="10"/>
  <c r="Y23" i="10"/>
  <c r="Z23" i="10"/>
  <c r="X22" i="10"/>
  <c r="Y22" i="10"/>
  <c r="Z22" i="10"/>
  <c r="X21" i="10"/>
  <c r="Y21" i="10"/>
  <c r="Z21" i="10"/>
  <c r="X20" i="10"/>
  <c r="Y20" i="10"/>
  <c r="Z20" i="10"/>
  <c r="X19" i="10"/>
  <c r="Y19" i="10"/>
  <c r="Z19" i="10"/>
  <c r="X18" i="10"/>
  <c r="Y18" i="10"/>
  <c r="Z18" i="10"/>
  <c r="X17" i="10"/>
  <c r="Y17" i="10"/>
  <c r="Z17" i="10"/>
  <c r="X16" i="10"/>
  <c r="Y16" i="10"/>
  <c r="Z16" i="10"/>
  <c r="X15" i="10"/>
  <c r="Y15" i="10"/>
  <c r="Z15" i="10"/>
  <c r="X14" i="10"/>
  <c r="Y14" i="10"/>
  <c r="Z14" i="10"/>
  <c r="X13" i="10"/>
  <c r="Y13" i="10"/>
  <c r="Z13" i="10"/>
  <c r="X12" i="10"/>
  <c r="Y12" i="10"/>
  <c r="Z12" i="10"/>
  <c r="X11" i="10"/>
  <c r="Y11" i="10"/>
  <c r="Z11" i="10"/>
  <c r="X10" i="10"/>
  <c r="Y10" i="10"/>
  <c r="Z10" i="10"/>
  <c r="X9" i="10"/>
  <c r="Y9" i="10"/>
  <c r="Z9" i="10"/>
  <c r="X8" i="10"/>
  <c r="Y8" i="10"/>
  <c r="Z8" i="10"/>
  <c r="X7" i="10"/>
  <c r="Y7" i="10"/>
  <c r="Z7" i="10"/>
  <c r="X6" i="10"/>
  <c r="Y6" i="10"/>
  <c r="Z6" i="10"/>
  <c r="X5" i="10"/>
  <c r="Y5" i="10"/>
  <c r="Z5" i="10"/>
  <c r="X4" i="10"/>
  <c r="Y4" i="10"/>
  <c r="Z4" i="10"/>
  <c r="X3" i="10"/>
  <c r="Y3" i="10"/>
  <c r="Z3" i="10"/>
  <c r="T4" i="10"/>
  <c r="U4" i="10"/>
  <c r="V4" i="10"/>
  <c r="T5" i="10"/>
  <c r="U5" i="10"/>
  <c r="V5" i="10"/>
  <c r="T6" i="10"/>
  <c r="U6" i="10"/>
  <c r="V6" i="10"/>
  <c r="T7" i="10"/>
  <c r="U7" i="10"/>
  <c r="V7" i="10"/>
  <c r="T8" i="10"/>
  <c r="U8" i="10"/>
  <c r="V8" i="10"/>
  <c r="T9" i="10"/>
  <c r="U9" i="10"/>
  <c r="V9" i="10"/>
  <c r="T10" i="10"/>
  <c r="U10" i="10"/>
  <c r="V10" i="10"/>
  <c r="T11" i="10"/>
  <c r="U11" i="10"/>
  <c r="V11" i="10"/>
  <c r="T12" i="10"/>
  <c r="U12" i="10"/>
  <c r="V12" i="10"/>
  <c r="T13" i="10"/>
  <c r="U13" i="10"/>
  <c r="V13" i="10"/>
  <c r="T14" i="10"/>
  <c r="U14" i="10"/>
  <c r="V14" i="10"/>
  <c r="T15" i="10"/>
  <c r="U15" i="10"/>
  <c r="V15" i="10"/>
  <c r="T16" i="10"/>
  <c r="U16" i="10"/>
  <c r="V16" i="10"/>
  <c r="T17" i="10"/>
  <c r="U17" i="10"/>
  <c r="V17" i="10"/>
  <c r="T18" i="10"/>
  <c r="U18" i="10"/>
  <c r="V18" i="10"/>
  <c r="T19" i="10"/>
  <c r="U19" i="10"/>
  <c r="V19" i="10"/>
  <c r="T20" i="10"/>
  <c r="U20" i="10"/>
  <c r="V20" i="10"/>
  <c r="T21" i="10"/>
  <c r="U21" i="10"/>
  <c r="V21" i="10"/>
  <c r="T22" i="10"/>
  <c r="U22" i="10"/>
  <c r="V22" i="10"/>
  <c r="T23" i="10"/>
  <c r="U23" i="10"/>
  <c r="V23" i="10"/>
  <c r="T24" i="10"/>
  <c r="U24" i="10"/>
  <c r="V24" i="10"/>
  <c r="T25" i="10"/>
  <c r="U25" i="10"/>
  <c r="V25" i="10"/>
  <c r="T26" i="10"/>
  <c r="U26" i="10"/>
  <c r="V26" i="10"/>
  <c r="T27" i="10"/>
  <c r="U27" i="10"/>
  <c r="V27" i="10"/>
  <c r="T28" i="10"/>
  <c r="U28" i="10"/>
  <c r="V28" i="10"/>
  <c r="T29" i="10"/>
  <c r="U29" i="10"/>
  <c r="V29" i="10"/>
  <c r="T30" i="10"/>
  <c r="U30" i="10"/>
  <c r="V30" i="10"/>
  <c r="T31" i="10"/>
  <c r="U31" i="10"/>
  <c r="V31" i="10"/>
  <c r="T32" i="10"/>
  <c r="U32" i="10"/>
  <c r="V32" i="10"/>
  <c r="T33" i="10"/>
  <c r="U33" i="10"/>
  <c r="V33" i="10"/>
  <c r="T34" i="10"/>
  <c r="U34" i="10"/>
  <c r="V34" i="10"/>
  <c r="T35" i="10"/>
  <c r="U35" i="10"/>
  <c r="V35" i="10"/>
  <c r="T36" i="10"/>
  <c r="U36" i="10"/>
  <c r="V36" i="10"/>
  <c r="T37" i="10"/>
  <c r="U37" i="10"/>
  <c r="V37" i="10"/>
  <c r="T38" i="10"/>
  <c r="U38" i="10"/>
  <c r="V38" i="10"/>
  <c r="T39" i="10"/>
  <c r="U39" i="10"/>
  <c r="V39" i="10"/>
  <c r="T40" i="10"/>
  <c r="U40" i="10"/>
  <c r="V40" i="10"/>
  <c r="T41" i="10"/>
  <c r="U41" i="10"/>
  <c r="V41" i="10"/>
  <c r="T42" i="10"/>
  <c r="U42" i="10"/>
  <c r="V42" i="10"/>
  <c r="T43" i="10"/>
  <c r="U43" i="10"/>
  <c r="V43" i="10"/>
  <c r="T44" i="10"/>
  <c r="U44" i="10"/>
  <c r="V44" i="10"/>
  <c r="T45" i="10"/>
  <c r="U45" i="10"/>
  <c r="V45" i="10"/>
  <c r="T46" i="10"/>
  <c r="U46" i="10"/>
  <c r="V46" i="10"/>
  <c r="T47" i="10"/>
  <c r="U47" i="10"/>
  <c r="V47" i="10"/>
  <c r="T48" i="10"/>
  <c r="U48" i="10"/>
  <c r="V48" i="10"/>
  <c r="T49" i="10"/>
  <c r="U49" i="10"/>
  <c r="V49" i="10"/>
  <c r="T50" i="10"/>
  <c r="U50" i="10"/>
  <c r="V50" i="10"/>
  <c r="T51" i="10"/>
  <c r="U51" i="10"/>
  <c r="V51" i="10"/>
  <c r="T52" i="10"/>
  <c r="U52" i="10"/>
  <c r="V52" i="10"/>
  <c r="T53" i="10"/>
  <c r="U53" i="10"/>
  <c r="V53" i="10"/>
  <c r="T54" i="10"/>
  <c r="U54" i="10"/>
  <c r="V54" i="10"/>
  <c r="T55" i="10"/>
  <c r="U55" i="10"/>
  <c r="V55" i="10"/>
  <c r="T56" i="10"/>
  <c r="U56" i="10"/>
  <c r="V56" i="10"/>
  <c r="T57" i="10"/>
  <c r="U57" i="10"/>
  <c r="V57" i="10"/>
  <c r="T58" i="10"/>
  <c r="U58" i="10"/>
  <c r="V58" i="10"/>
  <c r="T59" i="10"/>
  <c r="U59" i="10"/>
  <c r="V59" i="10"/>
  <c r="T60" i="10"/>
  <c r="U60" i="10"/>
  <c r="V60" i="10"/>
  <c r="T61" i="10"/>
  <c r="U61" i="10"/>
  <c r="V61" i="10"/>
  <c r="T62" i="10"/>
  <c r="U62" i="10"/>
  <c r="V62" i="10"/>
  <c r="T63" i="10"/>
  <c r="U63" i="10"/>
  <c r="V63" i="10"/>
  <c r="T64" i="10"/>
  <c r="U64" i="10"/>
  <c r="V64" i="10"/>
  <c r="T65" i="10"/>
  <c r="U65" i="10"/>
  <c r="V65" i="10"/>
  <c r="T66" i="10"/>
  <c r="U66" i="10"/>
  <c r="V66" i="10"/>
  <c r="T67" i="10"/>
  <c r="U67" i="10"/>
  <c r="V67" i="10"/>
  <c r="T68" i="10"/>
  <c r="U68" i="10"/>
  <c r="V68" i="10"/>
  <c r="T69" i="10"/>
  <c r="U69" i="10"/>
  <c r="V69" i="10"/>
  <c r="T70" i="10"/>
  <c r="U70" i="10"/>
  <c r="V70" i="10"/>
  <c r="T71" i="10"/>
  <c r="U71" i="10"/>
  <c r="V71" i="10"/>
  <c r="T72" i="10"/>
  <c r="U72" i="10"/>
  <c r="V72" i="10"/>
  <c r="T73" i="10"/>
  <c r="U73" i="10"/>
  <c r="V73" i="10"/>
  <c r="T74" i="10"/>
  <c r="U74" i="10"/>
  <c r="V74" i="10"/>
  <c r="T75" i="10"/>
  <c r="U75" i="10"/>
  <c r="V75" i="10"/>
  <c r="T76" i="10"/>
  <c r="U76" i="10"/>
  <c r="V76" i="10"/>
  <c r="T77" i="10"/>
  <c r="U77" i="10"/>
  <c r="V77" i="10"/>
  <c r="T78" i="10"/>
  <c r="U78" i="10"/>
  <c r="V78" i="10"/>
  <c r="T79" i="10"/>
  <c r="U79" i="10"/>
  <c r="V79" i="10"/>
  <c r="T80" i="10"/>
  <c r="U80" i="10"/>
  <c r="V80" i="10"/>
  <c r="T81" i="10"/>
  <c r="U81" i="10"/>
  <c r="V81" i="10"/>
  <c r="T82" i="10"/>
  <c r="U82" i="10"/>
  <c r="V82" i="10"/>
  <c r="T83" i="10"/>
  <c r="U83" i="10"/>
  <c r="V83" i="10"/>
  <c r="T84" i="10"/>
  <c r="U84" i="10"/>
  <c r="V84" i="10"/>
  <c r="T85" i="10"/>
  <c r="U85" i="10"/>
  <c r="V85" i="10"/>
  <c r="T86" i="10"/>
  <c r="U86" i="10"/>
  <c r="V86" i="10"/>
  <c r="T87" i="10"/>
  <c r="U87" i="10"/>
  <c r="V87" i="10"/>
  <c r="T88" i="10"/>
  <c r="U88" i="10"/>
  <c r="V88" i="10"/>
  <c r="T89" i="10"/>
  <c r="U89" i="10"/>
  <c r="V89" i="10"/>
  <c r="T90" i="10"/>
  <c r="U90" i="10"/>
  <c r="V90" i="10"/>
  <c r="T91" i="10"/>
  <c r="U91" i="10"/>
  <c r="V91" i="10"/>
  <c r="T92" i="10"/>
  <c r="U92" i="10"/>
  <c r="V92" i="10"/>
  <c r="T93" i="10"/>
  <c r="U93" i="10"/>
  <c r="V93" i="10"/>
  <c r="T94" i="10"/>
  <c r="U94" i="10"/>
  <c r="V94" i="10"/>
  <c r="T95" i="10"/>
  <c r="U95" i="10"/>
  <c r="V95" i="10"/>
  <c r="T96" i="10"/>
  <c r="U96" i="10"/>
  <c r="V96" i="10"/>
  <c r="T97" i="10"/>
  <c r="U97" i="10"/>
  <c r="V97" i="10"/>
  <c r="T98" i="10"/>
  <c r="U98" i="10"/>
  <c r="V98" i="10"/>
  <c r="T99" i="10"/>
  <c r="U99" i="10"/>
  <c r="V99" i="10"/>
  <c r="T100" i="10"/>
  <c r="U100" i="10"/>
  <c r="V100" i="10"/>
  <c r="T101" i="10"/>
  <c r="U101" i="10"/>
  <c r="V101" i="10"/>
  <c r="T102" i="10"/>
  <c r="U102" i="10"/>
  <c r="V102" i="10"/>
  <c r="T103" i="10"/>
  <c r="U103" i="10"/>
  <c r="V103" i="10"/>
  <c r="T104" i="10"/>
  <c r="U104" i="10"/>
  <c r="V104" i="10"/>
  <c r="T105" i="10"/>
  <c r="U105" i="10"/>
  <c r="V105" i="10"/>
  <c r="T106" i="10"/>
  <c r="U106" i="10"/>
  <c r="V106" i="10"/>
  <c r="T107" i="10"/>
  <c r="U107" i="10"/>
  <c r="V107" i="10"/>
  <c r="T108" i="10"/>
  <c r="U108" i="10"/>
  <c r="V108" i="10"/>
  <c r="T109" i="10"/>
  <c r="U109" i="10"/>
  <c r="V109" i="10"/>
  <c r="T110" i="10"/>
  <c r="U110" i="10"/>
  <c r="V110" i="10"/>
  <c r="T111" i="10"/>
  <c r="U111" i="10"/>
  <c r="V111" i="10"/>
  <c r="T112" i="10"/>
  <c r="U112" i="10"/>
  <c r="V112" i="10"/>
  <c r="T113" i="10"/>
  <c r="U113" i="10"/>
  <c r="V113" i="10"/>
  <c r="T114" i="10"/>
  <c r="U114" i="10"/>
  <c r="V114" i="10"/>
  <c r="T115" i="10"/>
  <c r="U115" i="10"/>
  <c r="V115" i="10"/>
  <c r="T116" i="10"/>
  <c r="U116" i="10"/>
  <c r="V116" i="10"/>
  <c r="T117" i="10"/>
  <c r="U117" i="10"/>
  <c r="V117" i="10"/>
  <c r="T118" i="10"/>
  <c r="U118" i="10"/>
  <c r="V118" i="10"/>
  <c r="T119" i="10"/>
  <c r="U119" i="10"/>
  <c r="V119" i="10"/>
  <c r="T120" i="10"/>
  <c r="U120" i="10"/>
  <c r="V120" i="10"/>
  <c r="T121" i="10"/>
  <c r="U121" i="10"/>
  <c r="V121" i="10"/>
  <c r="T122" i="10"/>
  <c r="U122" i="10"/>
  <c r="V122" i="10"/>
  <c r="T123" i="10"/>
  <c r="U123" i="10"/>
  <c r="V123" i="10"/>
  <c r="T124" i="10"/>
  <c r="U124" i="10"/>
  <c r="V124" i="10"/>
  <c r="T125" i="10"/>
  <c r="U125" i="10"/>
  <c r="V125" i="10"/>
  <c r="T126" i="10"/>
  <c r="U126" i="10"/>
  <c r="V126" i="10"/>
  <c r="T127" i="10"/>
  <c r="U127" i="10"/>
  <c r="V127" i="10"/>
  <c r="T128" i="10"/>
  <c r="U128" i="10"/>
  <c r="V128" i="10"/>
  <c r="T129" i="10"/>
  <c r="U129" i="10"/>
  <c r="V129" i="10"/>
  <c r="T130" i="10"/>
  <c r="U130" i="10"/>
  <c r="V130" i="10"/>
  <c r="T131" i="10"/>
  <c r="U131" i="10"/>
  <c r="V131" i="10"/>
  <c r="T132" i="10"/>
  <c r="U132" i="10"/>
  <c r="V132" i="10"/>
  <c r="T133" i="10"/>
  <c r="U133" i="10"/>
  <c r="V133" i="10"/>
  <c r="T134" i="10"/>
  <c r="U134" i="10"/>
  <c r="V134" i="10"/>
  <c r="T135" i="10"/>
  <c r="U135" i="10"/>
  <c r="V135" i="10"/>
  <c r="T136" i="10"/>
  <c r="U136" i="10"/>
  <c r="V136" i="10"/>
  <c r="T137" i="10"/>
  <c r="U137" i="10"/>
  <c r="V137" i="10"/>
  <c r="T138" i="10"/>
  <c r="U138" i="10"/>
  <c r="V138" i="10"/>
  <c r="T139" i="10"/>
  <c r="U139" i="10"/>
  <c r="V139" i="10"/>
  <c r="T140" i="10"/>
  <c r="U140" i="10"/>
  <c r="V140" i="10"/>
  <c r="T141" i="10"/>
  <c r="U141" i="10"/>
  <c r="V141" i="10"/>
  <c r="T142" i="10"/>
  <c r="U142" i="10"/>
  <c r="V142" i="10"/>
  <c r="T143" i="10"/>
  <c r="U143" i="10"/>
  <c r="V143" i="10"/>
  <c r="T144" i="10"/>
  <c r="U144" i="10"/>
  <c r="V144" i="10"/>
  <c r="T145" i="10"/>
  <c r="U145" i="10"/>
  <c r="V145" i="10"/>
  <c r="T146" i="10"/>
  <c r="U146" i="10"/>
  <c r="V146" i="10"/>
  <c r="T147" i="10"/>
  <c r="U147" i="10"/>
  <c r="V147" i="10"/>
  <c r="T148" i="10"/>
  <c r="U148" i="10"/>
  <c r="V148" i="10"/>
  <c r="T149" i="10"/>
  <c r="U149" i="10"/>
  <c r="V149" i="10"/>
  <c r="T150" i="10"/>
  <c r="U150" i="10"/>
  <c r="V150" i="10"/>
  <c r="T151" i="10"/>
  <c r="U151" i="10"/>
  <c r="V151" i="10"/>
  <c r="T152" i="10"/>
  <c r="U152" i="10"/>
  <c r="V152" i="10"/>
  <c r="T153" i="10"/>
  <c r="U153" i="10"/>
  <c r="V153" i="10"/>
  <c r="T154" i="10"/>
  <c r="U154" i="10"/>
  <c r="V154" i="10"/>
  <c r="T155" i="10"/>
  <c r="U155" i="10"/>
  <c r="V155" i="10"/>
  <c r="T156" i="10"/>
  <c r="U156" i="10"/>
  <c r="V156" i="10"/>
  <c r="T157" i="10"/>
  <c r="U157" i="10"/>
  <c r="V157" i="10"/>
  <c r="T158" i="10"/>
  <c r="U158" i="10"/>
  <c r="V158" i="10"/>
  <c r="T159" i="10"/>
  <c r="U159" i="10"/>
  <c r="V159" i="10"/>
  <c r="T160" i="10"/>
  <c r="U160" i="10"/>
  <c r="V160" i="10"/>
  <c r="T161" i="10"/>
  <c r="U161" i="10"/>
  <c r="V161" i="10"/>
  <c r="T162" i="10"/>
  <c r="U162" i="10"/>
  <c r="V162" i="10"/>
  <c r="T163" i="10"/>
  <c r="U163" i="10"/>
  <c r="V163" i="10"/>
  <c r="T164" i="10"/>
  <c r="U164" i="10"/>
  <c r="V164" i="10"/>
  <c r="T165" i="10"/>
  <c r="U165" i="10"/>
  <c r="V165" i="10"/>
  <c r="T166" i="10"/>
  <c r="U166" i="10"/>
  <c r="V166" i="10"/>
  <c r="T167" i="10"/>
  <c r="U167" i="10"/>
  <c r="V167" i="10"/>
  <c r="T168" i="10"/>
  <c r="U168" i="10"/>
  <c r="V168" i="10"/>
  <c r="T169" i="10"/>
  <c r="U169" i="10"/>
  <c r="V169" i="10"/>
  <c r="T170" i="10"/>
  <c r="U170" i="10"/>
  <c r="V170" i="10"/>
  <c r="T171" i="10"/>
  <c r="U171" i="10"/>
  <c r="V171" i="10"/>
  <c r="T172" i="10"/>
  <c r="U172" i="10"/>
  <c r="V172" i="10"/>
  <c r="T173" i="10"/>
  <c r="U173" i="10"/>
  <c r="V173" i="10"/>
  <c r="T174" i="10"/>
  <c r="U174" i="10"/>
  <c r="V174" i="10"/>
  <c r="T175" i="10"/>
  <c r="U175" i="10"/>
  <c r="V175" i="10"/>
  <c r="T176" i="10"/>
  <c r="U176" i="10"/>
  <c r="V176" i="10"/>
  <c r="T177" i="10"/>
  <c r="U177" i="10"/>
  <c r="V177" i="10"/>
  <c r="T178" i="10"/>
  <c r="U178" i="10"/>
  <c r="V178" i="10"/>
  <c r="T179" i="10"/>
  <c r="U179" i="10"/>
  <c r="V179" i="10"/>
  <c r="T180" i="10"/>
  <c r="U180" i="10"/>
  <c r="V180" i="10"/>
  <c r="T181" i="10"/>
  <c r="U181" i="10"/>
  <c r="V181" i="10"/>
  <c r="T182" i="10"/>
  <c r="U182" i="10"/>
  <c r="V182" i="10"/>
  <c r="T183" i="10"/>
  <c r="U183" i="10"/>
  <c r="V183" i="10"/>
  <c r="T184" i="10"/>
  <c r="U184" i="10"/>
  <c r="V184" i="10"/>
  <c r="T185" i="10"/>
  <c r="U185" i="10"/>
  <c r="V185" i="10"/>
  <c r="T186" i="10"/>
  <c r="U186" i="10"/>
  <c r="V186" i="10"/>
  <c r="T187" i="10"/>
  <c r="U187" i="10"/>
  <c r="V187" i="10"/>
  <c r="T188" i="10"/>
  <c r="U188" i="10"/>
  <c r="V188" i="10"/>
  <c r="T189" i="10"/>
  <c r="U189" i="10"/>
  <c r="V189" i="10"/>
  <c r="T190" i="10"/>
  <c r="U190" i="10"/>
  <c r="V190" i="10"/>
  <c r="T191" i="10"/>
  <c r="U191" i="10"/>
  <c r="V191" i="10"/>
  <c r="T192" i="10"/>
  <c r="U192" i="10"/>
  <c r="V192" i="10"/>
  <c r="T193" i="10"/>
  <c r="U193" i="10"/>
  <c r="V193" i="10"/>
  <c r="T194" i="10"/>
  <c r="U194" i="10"/>
  <c r="V194" i="10"/>
  <c r="T195" i="10"/>
  <c r="U195" i="10"/>
  <c r="V195" i="10"/>
  <c r="T196" i="10"/>
  <c r="U196" i="10"/>
  <c r="V196" i="10"/>
  <c r="T197" i="10"/>
  <c r="U197" i="10"/>
  <c r="V197" i="10"/>
  <c r="T198" i="10"/>
  <c r="U198" i="10"/>
  <c r="V198" i="10"/>
  <c r="T199" i="10"/>
  <c r="U199" i="10"/>
  <c r="V199" i="10"/>
  <c r="T200" i="10"/>
  <c r="U200" i="10"/>
  <c r="V200" i="10"/>
  <c r="T201" i="10"/>
  <c r="U201" i="10"/>
  <c r="V201" i="10"/>
  <c r="T202" i="10"/>
  <c r="U202" i="10"/>
  <c r="V202" i="10"/>
  <c r="T203" i="10"/>
  <c r="U203" i="10"/>
  <c r="V203" i="10"/>
  <c r="T204" i="10"/>
  <c r="U204" i="10"/>
  <c r="V204" i="10"/>
  <c r="T205" i="10"/>
  <c r="U205" i="10"/>
  <c r="V205" i="10"/>
  <c r="T206" i="10"/>
  <c r="U206" i="10"/>
  <c r="V206" i="10"/>
  <c r="T207" i="10"/>
  <c r="U207" i="10"/>
  <c r="V207" i="10"/>
  <c r="T208" i="10"/>
  <c r="U208" i="10"/>
  <c r="V208" i="10"/>
  <c r="T209" i="10"/>
  <c r="U209" i="10"/>
  <c r="V209" i="10"/>
  <c r="T210" i="10"/>
  <c r="U210" i="10"/>
  <c r="V210" i="10"/>
  <c r="T211" i="10"/>
  <c r="U211" i="10"/>
  <c r="V211" i="10"/>
  <c r="T212" i="10"/>
  <c r="U212" i="10"/>
  <c r="V212" i="10"/>
  <c r="T213" i="10"/>
  <c r="U213" i="10"/>
  <c r="V213" i="10"/>
  <c r="T214" i="10"/>
  <c r="U214" i="10"/>
  <c r="V214" i="10"/>
  <c r="T215" i="10"/>
  <c r="U215" i="10"/>
  <c r="V215" i="10"/>
  <c r="T216" i="10"/>
  <c r="U216" i="10"/>
  <c r="V216" i="10"/>
  <c r="T217" i="10"/>
  <c r="U217" i="10"/>
  <c r="V217" i="10"/>
  <c r="T218" i="10"/>
  <c r="U218" i="10"/>
  <c r="V218" i="10"/>
  <c r="T219" i="10"/>
  <c r="U219" i="10"/>
  <c r="V219" i="10"/>
  <c r="T220" i="10"/>
  <c r="U220" i="10"/>
  <c r="V220" i="10"/>
  <c r="T221" i="10"/>
  <c r="U221" i="10"/>
  <c r="V221" i="10"/>
  <c r="T222" i="10"/>
  <c r="U222" i="10"/>
  <c r="V222" i="10"/>
  <c r="T223" i="10"/>
  <c r="U223" i="10"/>
  <c r="V223" i="10"/>
  <c r="T224" i="10"/>
  <c r="U224" i="10"/>
  <c r="V224" i="10"/>
  <c r="T225" i="10"/>
  <c r="U225" i="10"/>
  <c r="V225" i="10"/>
  <c r="T226" i="10"/>
  <c r="U226" i="10"/>
  <c r="V226" i="10"/>
  <c r="T227" i="10"/>
  <c r="U227" i="10"/>
  <c r="V227" i="10"/>
  <c r="T228" i="10"/>
  <c r="U228" i="10"/>
  <c r="V228" i="10"/>
  <c r="T229" i="10"/>
  <c r="U229" i="10"/>
  <c r="V229" i="10"/>
  <c r="T230" i="10"/>
  <c r="U230" i="10"/>
  <c r="V230" i="10"/>
  <c r="T231" i="10"/>
  <c r="U231" i="10"/>
  <c r="V231" i="10"/>
  <c r="T232" i="10"/>
  <c r="U232" i="10"/>
  <c r="V232" i="10"/>
  <c r="T233" i="10"/>
  <c r="U233" i="10"/>
  <c r="V233" i="10"/>
  <c r="T234" i="10"/>
  <c r="U234" i="10"/>
  <c r="V234" i="10"/>
  <c r="T235" i="10"/>
  <c r="U235" i="10"/>
  <c r="V235" i="10"/>
  <c r="T236" i="10"/>
  <c r="U236" i="10"/>
  <c r="V236" i="10"/>
  <c r="T237" i="10"/>
  <c r="U237" i="10"/>
  <c r="V237" i="10"/>
  <c r="T238" i="10"/>
  <c r="U238" i="10"/>
  <c r="V238" i="10"/>
  <c r="T239" i="10"/>
  <c r="U239" i="10"/>
  <c r="V239" i="10"/>
  <c r="T240" i="10"/>
  <c r="U240" i="10"/>
  <c r="V240" i="10"/>
  <c r="T241" i="10"/>
  <c r="U241" i="10"/>
  <c r="V241" i="10"/>
  <c r="T242" i="10"/>
  <c r="U242" i="10"/>
  <c r="V242" i="10"/>
  <c r="T243" i="10"/>
  <c r="U243" i="10"/>
  <c r="V243" i="10"/>
  <c r="T3" i="10"/>
  <c r="U3" i="10"/>
  <c r="V3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4" i="10"/>
  <c r="Q258" i="10"/>
  <c r="Q257" i="10"/>
  <c r="Q256" i="10"/>
  <c r="Q255" i="10"/>
  <c r="Q254" i="10"/>
  <c r="Q253" i="10"/>
  <c r="Q252" i="10"/>
  <c r="Q251" i="10"/>
  <c r="Q250" i="10"/>
  <c r="Q249" i="10"/>
  <c r="Q248" i="10"/>
  <c r="Q247" i="10"/>
  <c r="Q246" i="10"/>
  <c r="Q245" i="10"/>
  <c r="Q244" i="10"/>
  <c r="Q243" i="10"/>
  <c r="Q242" i="10"/>
  <c r="Q241" i="10"/>
  <c r="Q240" i="10"/>
  <c r="Q239" i="10"/>
  <c r="Q238" i="10"/>
  <c r="Q237" i="10"/>
  <c r="Q236" i="10"/>
  <c r="Q235" i="10"/>
  <c r="Q234" i="10"/>
  <c r="Q233" i="10"/>
  <c r="Q232" i="10"/>
  <c r="Q231" i="10"/>
  <c r="Q230" i="10"/>
  <c r="Q229" i="10"/>
  <c r="Q228" i="10"/>
  <c r="Q227" i="10"/>
  <c r="Q226" i="10"/>
  <c r="Q225" i="10"/>
  <c r="Q224" i="10"/>
  <c r="Q223" i="10"/>
  <c r="Q222" i="10"/>
  <c r="Q221" i="10"/>
  <c r="Q220" i="10"/>
  <c r="Q219" i="10"/>
  <c r="Q218" i="10"/>
  <c r="Q217" i="10"/>
  <c r="Q216" i="10"/>
  <c r="Q215" i="10"/>
  <c r="Q214" i="10"/>
  <c r="Q213" i="10"/>
  <c r="Q212" i="10"/>
  <c r="Q211" i="10"/>
  <c r="Q210" i="10"/>
  <c r="Q209" i="10"/>
  <c r="Q208" i="10"/>
  <c r="Q207" i="10"/>
  <c r="Q206" i="10"/>
  <c r="Q205" i="10"/>
  <c r="Q204" i="10"/>
  <c r="Q203" i="10"/>
  <c r="Q202" i="10"/>
  <c r="Q201" i="10"/>
  <c r="Q200" i="10"/>
  <c r="Q199" i="10"/>
  <c r="Q198" i="10"/>
  <c r="Q197" i="10"/>
  <c r="Q196" i="10"/>
  <c r="Q195" i="10"/>
  <c r="Q194" i="10"/>
  <c r="Q193" i="10"/>
  <c r="Q192" i="10"/>
  <c r="Q191" i="10"/>
  <c r="Q190" i="10"/>
  <c r="Q189" i="10"/>
  <c r="Q188" i="10"/>
  <c r="Q187" i="10"/>
  <c r="Q186" i="10"/>
  <c r="Q185" i="10"/>
  <c r="Q184" i="10"/>
  <c r="Q183" i="10"/>
  <c r="Q182" i="10"/>
  <c r="Q181" i="10"/>
  <c r="Q180" i="10"/>
  <c r="Q179" i="10"/>
  <c r="Q178" i="10"/>
  <c r="Q177" i="10"/>
  <c r="Q176" i="10"/>
  <c r="Q175" i="10"/>
  <c r="Q174" i="10"/>
  <c r="Q173" i="10"/>
  <c r="Q172" i="10"/>
  <c r="Q171" i="10"/>
  <c r="Q170" i="10"/>
  <c r="Q169" i="10"/>
  <c r="Q168" i="10"/>
  <c r="Q167" i="10"/>
  <c r="Q166" i="10"/>
  <c r="Q165" i="10"/>
  <c r="Q164" i="10"/>
  <c r="Q163" i="10"/>
  <c r="Q162" i="10"/>
  <c r="Q161" i="10"/>
  <c r="Q160" i="10"/>
  <c r="Q159" i="10"/>
  <c r="Q158" i="10"/>
  <c r="Q157" i="10"/>
  <c r="Q156" i="10"/>
  <c r="Q155" i="10"/>
  <c r="Q154" i="10"/>
  <c r="Q153" i="10"/>
  <c r="Q152" i="10"/>
  <c r="Q151" i="10"/>
  <c r="Q150" i="10"/>
  <c r="Q149" i="10"/>
  <c r="Q148" i="10"/>
  <c r="Q147" i="10"/>
  <c r="Q146" i="10"/>
  <c r="Q145" i="10"/>
  <c r="Q144" i="10"/>
  <c r="Q143" i="10"/>
  <c r="Q142" i="10"/>
  <c r="Q141" i="10"/>
  <c r="Q140" i="10"/>
  <c r="Q139" i="10"/>
  <c r="Q138" i="10"/>
  <c r="Q137" i="10"/>
  <c r="Q136" i="10"/>
  <c r="Q135" i="10"/>
  <c r="Q134" i="10"/>
  <c r="Q133" i="10"/>
  <c r="Q132" i="10"/>
  <c r="Q131" i="10"/>
  <c r="Q130" i="10"/>
  <c r="Q129" i="10"/>
  <c r="Q128" i="10"/>
  <c r="Q127" i="10"/>
  <c r="Q126" i="10"/>
  <c r="Q125" i="10"/>
  <c r="Q124" i="10"/>
  <c r="Q123" i="10"/>
  <c r="Q122" i="10"/>
  <c r="Q121" i="10"/>
  <c r="Q120" i="10"/>
  <c r="Q119" i="10"/>
  <c r="Q118" i="10"/>
  <c r="Q117" i="10"/>
  <c r="Q116" i="10"/>
  <c r="Q115" i="10"/>
  <c r="Q114" i="10"/>
  <c r="Q113" i="10"/>
  <c r="Q112" i="10"/>
  <c r="Q111" i="10"/>
  <c r="Q110" i="10"/>
  <c r="Q109" i="10"/>
  <c r="Q108" i="10"/>
  <c r="Q107" i="10"/>
  <c r="Q106" i="10"/>
  <c r="Q105" i="10"/>
  <c r="Q104" i="10"/>
  <c r="Q103" i="10"/>
  <c r="Q102" i="10"/>
  <c r="Q101" i="10"/>
  <c r="Q100" i="10"/>
  <c r="Q99" i="10"/>
  <c r="Q98" i="10"/>
  <c r="Q97" i="10"/>
  <c r="Q96" i="10"/>
  <c r="Q95" i="10"/>
  <c r="Q94" i="10"/>
  <c r="Q93" i="10"/>
  <c r="Q92" i="10"/>
  <c r="Q91" i="10"/>
  <c r="Q90" i="10"/>
  <c r="Q89" i="10"/>
  <c r="Q88" i="10"/>
  <c r="Q87" i="10"/>
  <c r="Q86" i="10"/>
  <c r="Q85" i="10"/>
  <c r="Q84" i="10"/>
  <c r="Q83" i="10"/>
  <c r="Q82" i="10"/>
  <c r="Q81" i="10"/>
  <c r="Q80" i="10"/>
  <c r="Q79" i="10"/>
  <c r="Q78" i="10"/>
  <c r="Q77" i="10"/>
  <c r="Q76" i="10"/>
  <c r="Q75" i="10"/>
  <c r="Q74" i="10"/>
  <c r="Q73" i="10"/>
  <c r="Q72" i="10"/>
  <c r="Q71" i="10"/>
  <c r="Q70" i="10"/>
  <c r="Q69" i="10"/>
  <c r="Q68" i="10"/>
  <c r="Q67" i="10"/>
  <c r="Q66" i="10"/>
  <c r="Q65" i="10"/>
  <c r="Q64" i="10"/>
  <c r="Q63" i="10"/>
  <c r="Q62" i="10"/>
  <c r="Q61" i="10"/>
  <c r="Q60" i="10"/>
  <c r="Q59" i="10"/>
  <c r="Q58" i="10"/>
  <c r="Q57" i="10"/>
  <c r="Q56" i="10"/>
  <c r="Q55" i="10"/>
  <c r="Q54" i="10"/>
  <c r="Q53" i="10"/>
  <c r="Q52" i="10"/>
  <c r="Q51" i="10"/>
  <c r="Q50" i="10"/>
  <c r="Q49" i="10"/>
  <c r="Q48" i="10"/>
  <c r="Q47" i="10"/>
  <c r="Q46" i="10"/>
  <c r="Q45" i="10"/>
  <c r="Q44" i="10"/>
  <c r="Q43" i="10"/>
  <c r="Q42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Q5" i="10"/>
  <c r="Q4" i="10"/>
  <c r="Q3" i="10"/>
  <c r="O258" i="10"/>
  <c r="O257" i="10"/>
  <c r="O256" i="10"/>
  <c r="O255" i="10"/>
  <c r="O254" i="10"/>
  <c r="O253" i="10"/>
  <c r="O252" i="10"/>
  <c r="O251" i="10"/>
  <c r="O250" i="10"/>
  <c r="O249" i="10"/>
  <c r="O248" i="10"/>
  <c r="O247" i="10"/>
  <c r="O246" i="10"/>
  <c r="O245" i="10"/>
  <c r="O244" i="10"/>
  <c r="O243" i="10"/>
  <c r="O242" i="10"/>
  <c r="O241" i="10"/>
  <c r="O240" i="10"/>
  <c r="O239" i="10"/>
  <c r="O238" i="10"/>
  <c r="O237" i="10"/>
  <c r="O236" i="10"/>
  <c r="O235" i="10"/>
  <c r="O234" i="10"/>
  <c r="O233" i="10"/>
  <c r="O232" i="10"/>
  <c r="O231" i="10"/>
  <c r="O230" i="10"/>
  <c r="O229" i="10"/>
  <c r="O228" i="10"/>
  <c r="O227" i="10"/>
  <c r="O226" i="10"/>
  <c r="O225" i="10"/>
  <c r="O224" i="10"/>
  <c r="O223" i="10"/>
  <c r="O222" i="10"/>
  <c r="O221" i="10"/>
  <c r="O220" i="10"/>
  <c r="O219" i="10"/>
  <c r="O218" i="10"/>
  <c r="O217" i="10"/>
  <c r="O216" i="10"/>
  <c r="O215" i="10"/>
  <c r="O214" i="10"/>
  <c r="O213" i="10"/>
  <c r="O212" i="10"/>
  <c r="O211" i="10"/>
  <c r="O210" i="10"/>
  <c r="O209" i="10"/>
  <c r="O208" i="10"/>
  <c r="O207" i="10"/>
  <c r="O206" i="10"/>
  <c r="O205" i="10"/>
  <c r="O204" i="10"/>
  <c r="O203" i="10"/>
  <c r="O202" i="10"/>
  <c r="O201" i="10"/>
  <c r="O200" i="10"/>
  <c r="O199" i="10"/>
  <c r="O198" i="10"/>
  <c r="O197" i="10"/>
  <c r="O196" i="10"/>
  <c r="O195" i="10"/>
  <c r="O194" i="10"/>
  <c r="O193" i="10"/>
  <c r="O192" i="10"/>
  <c r="O191" i="10"/>
  <c r="O190" i="10"/>
  <c r="O189" i="10"/>
  <c r="O188" i="10"/>
  <c r="O187" i="10"/>
  <c r="O186" i="10"/>
  <c r="O185" i="10"/>
  <c r="O184" i="10"/>
  <c r="O183" i="10"/>
  <c r="O182" i="10"/>
  <c r="O181" i="10"/>
  <c r="O180" i="10"/>
  <c r="O179" i="10"/>
  <c r="O178" i="10"/>
  <c r="O177" i="10"/>
  <c r="O176" i="10"/>
  <c r="O175" i="10"/>
  <c r="O174" i="10"/>
  <c r="O173" i="10"/>
  <c r="O172" i="10"/>
  <c r="O171" i="10"/>
  <c r="O170" i="10"/>
  <c r="O169" i="10"/>
  <c r="O168" i="10"/>
  <c r="O167" i="10"/>
  <c r="O166" i="10"/>
  <c r="O165" i="10"/>
  <c r="O164" i="10"/>
  <c r="O163" i="10"/>
  <c r="O162" i="10"/>
  <c r="O161" i="10"/>
  <c r="O160" i="10"/>
  <c r="O159" i="10"/>
  <c r="O158" i="10"/>
  <c r="O157" i="10"/>
  <c r="O156" i="10"/>
  <c r="O155" i="10"/>
  <c r="O154" i="10"/>
  <c r="O153" i="10"/>
  <c r="O152" i="10"/>
  <c r="O151" i="10"/>
  <c r="O150" i="10"/>
  <c r="O149" i="10"/>
  <c r="O148" i="10"/>
  <c r="O147" i="10"/>
  <c r="O146" i="10"/>
  <c r="O145" i="10"/>
  <c r="O144" i="10"/>
  <c r="O143" i="10"/>
  <c r="O142" i="10"/>
  <c r="O141" i="10"/>
  <c r="O140" i="10"/>
  <c r="O139" i="10"/>
  <c r="O138" i="10"/>
  <c r="O137" i="10"/>
  <c r="O136" i="10"/>
  <c r="O135" i="10"/>
  <c r="O134" i="10"/>
  <c r="O133" i="10"/>
  <c r="O132" i="10"/>
  <c r="O131" i="10"/>
  <c r="O130" i="10"/>
  <c r="O129" i="10"/>
  <c r="O128" i="10"/>
  <c r="O127" i="10"/>
  <c r="O126" i="10"/>
  <c r="O125" i="10"/>
  <c r="O124" i="10"/>
  <c r="O123" i="10"/>
  <c r="O122" i="10"/>
  <c r="O121" i="10"/>
  <c r="O120" i="10"/>
  <c r="O119" i="10"/>
  <c r="O118" i="10"/>
  <c r="O117" i="10"/>
  <c r="O116" i="10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52" i="10"/>
  <c r="O51" i="10"/>
  <c r="O50" i="10"/>
  <c r="O49" i="10"/>
  <c r="O48" i="10"/>
  <c r="O47" i="10"/>
  <c r="O46" i="10"/>
  <c r="O45" i="10"/>
  <c r="O44" i="10"/>
  <c r="O43" i="10"/>
  <c r="O42" i="10"/>
  <c r="O41" i="10"/>
  <c r="O40" i="10"/>
  <c r="O39" i="10"/>
  <c r="O38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O4" i="10"/>
  <c r="O3" i="10"/>
  <c r="M258" i="10"/>
  <c r="M257" i="10"/>
  <c r="M256" i="10"/>
  <c r="M255" i="10"/>
  <c r="M254" i="10"/>
  <c r="M253" i="10"/>
  <c r="M252" i="10"/>
  <c r="M251" i="10"/>
  <c r="M250" i="10"/>
  <c r="M249" i="10"/>
  <c r="M248" i="10"/>
  <c r="M247" i="10"/>
  <c r="M246" i="10"/>
  <c r="M245" i="10"/>
  <c r="M244" i="10"/>
  <c r="M243" i="10"/>
  <c r="M242" i="10"/>
  <c r="M241" i="10"/>
  <c r="M240" i="10"/>
  <c r="M239" i="10"/>
  <c r="M238" i="10"/>
  <c r="M237" i="10"/>
  <c r="M236" i="10"/>
  <c r="M235" i="10"/>
  <c r="M234" i="10"/>
  <c r="M233" i="10"/>
  <c r="M232" i="10"/>
  <c r="M231" i="10"/>
  <c r="M230" i="10"/>
  <c r="M229" i="10"/>
  <c r="M228" i="10"/>
  <c r="M227" i="10"/>
  <c r="M226" i="10"/>
  <c r="M225" i="10"/>
  <c r="M224" i="10"/>
  <c r="M223" i="10"/>
  <c r="M222" i="10"/>
  <c r="M221" i="10"/>
  <c r="M220" i="10"/>
  <c r="M219" i="10"/>
  <c r="M218" i="10"/>
  <c r="M217" i="10"/>
  <c r="M216" i="10"/>
  <c r="M215" i="10"/>
  <c r="M214" i="10"/>
  <c r="M213" i="10"/>
  <c r="M212" i="10"/>
  <c r="M211" i="10"/>
  <c r="M210" i="10"/>
  <c r="M209" i="10"/>
  <c r="M208" i="10"/>
  <c r="M207" i="10"/>
  <c r="M206" i="10"/>
  <c r="M205" i="10"/>
  <c r="M204" i="10"/>
  <c r="M203" i="10"/>
  <c r="M202" i="10"/>
  <c r="M201" i="10"/>
  <c r="M200" i="10"/>
  <c r="M199" i="10"/>
  <c r="M198" i="10"/>
  <c r="M197" i="10"/>
  <c r="M196" i="10"/>
  <c r="M195" i="10"/>
  <c r="M194" i="10"/>
  <c r="M193" i="10"/>
  <c r="M192" i="10"/>
  <c r="M191" i="10"/>
  <c r="M190" i="10"/>
  <c r="M189" i="10"/>
  <c r="M188" i="10"/>
  <c r="M187" i="10"/>
  <c r="M186" i="10"/>
  <c r="M185" i="10"/>
  <c r="M184" i="10"/>
  <c r="M183" i="10"/>
  <c r="M182" i="10"/>
  <c r="M181" i="10"/>
  <c r="M180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3" i="10"/>
  <c r="M162" i="10"/>
  <c r="M161" i="10"/>
  <c r="M160" i="10"/>
  <c r="M159" i="10"/>
  <c r="M158" i="10"/>
  <c r="M157" i="10"/>
  <c r="M156" i="10"/>
  <c r="M155" i="10"/>
  <c r="M154" i="10"/>
  <c r="M153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8" i="10"/>
  <c r="M137" i="10"/>
  <c r="M136" i="10"/>
  <c r="M135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3" i="10"/>
  <c r="D3" i="10"/>
  <c r="E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R248" i="10"/>
  <c r="R249" i="10"/>
  <c r="R250" i="10"/>
  <c r="R251" i="10"/>
  <c r="R252" i="10"/>
  <c r="R253" i="10"/>
  <c r="R254" i="10"/>
  <c r="R255" i="10"/>
  <c r="R256" i="10"/>
  <c r="R257" i="10"/>
  <c r="R258" i="10"/>
  <c r="R4" i="10"/>
  <c r="R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3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C29" i="2"/>
  <c r="C21" i="2"/>
  <c r="G200" i="14"/>
  <c r="G199" i="14"/>
  <c r="G198" i="14"/>
  <c r="G197" i="14"/>
  <c r="C197" i="14"/>
  <c r="B197" i="14"/>
  <c r="G196" i="14"/>
  <c r="G195" i="14"/>
  <c r="G194" i="14"/>
  <c r="G193" i="14"/>
  <c r="G192" i="14"/>
  <c r="G191" i="14"/>
  <c r="G190" i="14"/>
  <c r="G189" i="14"/>
  <c r="C189" i="14"/>
  <c r="B189" i="14"/>
  <c r="G188" i="14"/>
  <c r="G187" i="14"/>
  <c r="G186" i="14"/>
  <c r="G185" i="14"/>
  <c r="G184" i="14"/>
  <c r="G183" i="14"/>
  <c r="G182" i="14"/>
  <c r="G181" i="14"/>
  <c r="C181" i="14"/>
  <c r="B181" i="14"/>
  <c r="G180" i="14"/>
  <c r="G179" i="14"/>
  <c r="G178" i="14"/>
  <c r="G177" i="14"/>
  <c r="G176" i="14"/>
  <c r="G175" i="14"/>
  <c r="G174" i="14"/>
  <c r="G173" i="14"/>
  <c r="C173" i="14"/>
  <c r="B173" i="14"/>
  <c r="G172" i="14"/>
  <c r="G171" i="14"/>
  <c r="G170" i="14"/>
  <c r="G169" i="14"/>
  <c r="G168" i="14"/>
  <c r="G167" i="14"/>
  <c r="G166" i="14"/>
  <c r="G165" i="14"/>
  <c r="C165" i="14"/>
  <c r="B165" i="14"/>
  <c r="G164" i="14"/>
  <c r="G163" i="14"/>
  <c r="G162" i="14"/>
  <c r="G161" i="14"/>
  <c r="G160" i="14"/>
  <c r="G159" i="14"/>
  <c r="G158" i="14"/>
  <c r="G157" i="14"/>
  <c r="C157" i="14"/>
  <c r="B157" i="14"/>
  <c r="G156" i="14"/>
  <c r="G155" i="14"/>
  <c r="G154" i="14"/>
  <c r="G153" i="14"/>
  <c r="G152" i="14"/>
  <c r="G151" i="14"/>
  <c r="G150" i="14"/>
  <c r="G149" i="14"/>
  <c r="C149" i="14"/>
  <c r="B149" i="14"/>
  <c r="G148" i="14"/>
  <c r="G147" i="14"/>
  <c r="G146" i="14"/>
  <c r="G145" i="14"/>
  <c r="G144" i="14"/>
  <c r="G143" i="14"/>
  <c r="G142" i="14"/>
  <c r="G141" i="14"/>
  <c r="C141" i="14"/>
  <c r="B141" i="14"/>
  <c r="G140" i="14"/>
  <c r="G139" i="14"/>
  <c r="G138" i="14"/>
  <c r="G137" i="14"/>
  <c r="G136" i="14"/>
  <c r="G135" i="14"/>
  <c r="G134" i="14"/>
  <c r="G133" i="14"/>
  <c r="C133" i="14"/>
  <c r="B133" i="14"/>
  <c r="G132" i="14"/>
  <c r="G131" i="14"/>
  <c r="G130" i="14"/>
  <c r="G129" i="14"/>
  <c r="G128" i="14"/>
  <c r="G127" i="14"/>
  <c r="G126" i="14"/>
  <c r="G125" i="14"/>
  <c r="C125" i="14"/>
  <c r="B125" i="14"/>
  <c r="G124" i="14"/>
  <c r="G123" i="14"/>
  <c r="G122" i="14"/>
  <c r="G121" i="14"/>
  <c r="G120" i="14"/>
  <c r="G119" i="14"/>
  <c r="G118" i="14"/>
  <c r="G117" i="14"/>
  <c r="C117" i="14"/>
  <c r="B117" i="14"/>
  <c r="G116" i="14"/>
  <c r="G115" i="14"/>
  <c r="G114" i="14"/>
  <c r="G113" i="14"/>
  <c r="G112" i="14"/>
  <c r="G111" i="14"/>
  <c r="G110" i="14"/>
  <c r="G109" i="14"/>
  <c r="C109" i="14"/>
  <c r="B109" i="14"/>
  <c r="G108" i="14"/>
  <c r="G107" i="14"/>
  <c r="G106" i="14"/>
  <c r="G105" i="14"/>
  <c r="G104" i="14"/>
  <c r="G103" i="14"/>
  <c r="G102" i="14"/>
  <c r="G101" i="14"/>
  <c r="C101" i="14"/>
  <c r="B101" i="14"/>
  <c r="G100" i="14"/>
  <c r="G99" i="14"/>
  <c r="G98" i="14"/>
  <c r="G97" i="14"/>
  <c r="G96" i="14"/>
  <c r="G95" i="14"/>
  <c r="G94" i="14"/>
  <c r="G93" i="14"/>
  <c r="C93" i="14"/>
  <c r="B93" i="14"/>
  <c r="G92" i="14"/>
  <c r="G91" i="14"/>
  <c r="G90" i="14"/>
  <c r="G89" i="14"/>
  <c r="G88" i="14"/>
  <c r="G87" i="14"/>
  <c r="G86" i="14"/>
  <c r="G85" i="14"/>
  <c r="C85" i="14"/>
  <c r="B85" i="14"/>
  <c r="G84" i="14"/>
  <c r="G83" i="14"/>
  <c r="G82" i="14"/>
  <c r="G81" i="14"/>
  <c r="G80" i="14"/>
  <c r="G79" i="14"/>
  <c r="G78" i="14"/>
  <c r="G77" i="14"/>
  <c r="C77" i="14"/>
  <c r="B77" i="14"/>
  <c r="G76" i="14"/>
  <c r="G75" i="14"/>
  <c r="G74" i="14"/>
  <c r="G73" i="14"/>
  <c r="G72" i="14"/>
  <c r="G71" i="14"/>
  <c r="G70" i="14"/>
  <c r="G69" i="14"/>
  <c r="C69" i="14"/>
  <c r="B69" i="14"/>
  <c r="G68" i="14"/>
  <c r="G67" i="14"/>
  <c r="G66" i="14"/>
  <c r="G65" i="14"/>
  <c r="G64" i="14"/>
  <c r="G63" i="14"/>
  <c r="G62" i="14"/>
  <c r="G61" i="14"/>
  <c r="C61" i="14"/>
  <c r="B61" i="14"/>
  <c r="G60" i="14"/>
  <c r="G59" i="14"/>
  <c r="G58" i="14"/>
  <c r="G57" i="14"/>
  <c r="G56" i="14"/>
  <c r="G55" i="14"/>
  <c r="G54" i="14"/>
  <c r="G53" i="14"/>
  <c r="C53" i="14"/>
  <c r="B53" i="14"/>
  <c r="G52" i="14"/>
  <c r="G51" i="14"/>
  <c r="G50" i="14"/>
  <c r="G49" i="14"/>
  <c r="G48" i="14"/>
  <c r="G47" i="14"/>
  <c r="G46" i="14"/>
  <c r="G45" i="14"/>
  <c r="C45" i="14"/>
  <c r="B45" i="14"/>
  <c r="G44" i="14"/>
  <c r="G43" i="14"/>
  <c r="G42" i="14"/>
  <c r="G41" i="14"/>
  <c r="G40" i="14"/>
  <c r="G39" i="14"/>
  <c r="G38" i="14"/>
  <c r="G37" i="14"/>
  <c r="C37" i="14"/>
  <c r="B37" i="14"/>
  <c r="G36" i="14"/>
  <c r="G35" i="14"/>
  <c r="G34" i="14"/>
  <c r="G33" i="14"/>
  <c r="G32" i="14"/>
  <c r="G31" i="14"/>
  <c r="G30" i="14"/>
  <c r="G29" i="14"/>
  <c r="C29" i="14"/>
  <c r="B29" i="14"/>
  <c r="G28" i="14"/>
  <c r="G27" i="14"/>
  <c r="G26" i="14"/>
  <c r="G25" i="14"/>
  <c r="G24" i="14"/>
  <c r="G23" i="14"/>
  <c r="G22" i="14"/>
  <c r="G21" i="14"/>
  <c r="C21" i="14"/>
  <c r="B21" i="14"/>
  <c r="G20" i="14"/>
  <c r="G19" i="14"/>
  <c r="G18" i="14"/>
  <c r="G17" i="14"/>
  <c r="G16" i="14"/>
  <c r="G15" i="14"/>
  <c r="G14" i="14"/>
  <c r="G13" i="14"/>
  <c r="C13" i="14"/>
  <c r="B13" i="14"/>
  <c r="G12" i="14"/>
  <c r="G11" i="14"/>
  <c r="G9" i="14"/>
  <c r="G8" i="14"/>
  <c r="G7" i="14"/>
  <c r="G6" i="14"/>
  <c r="G5" i="14"/>
  <c r="G4" i="14"/>
  <c r="C4" i="14"/>
  <c r="B4" i="14"/>
  <c r="G3" i="14"/>
  <c r="C3" i="10"/>
  <c r="AS258" i="10"/>
  <c r="AS257" i="10"/>
  <c r="AS256" i="10"/>
  <c r="AS255" i="10"/>
  <c r="AS254" i="10"/>
  <c r="AS253" i="10"/>
  <c r="AS252" i="10"/>
  <c r="AS251" i="10"/>
  <c r="AS250" i="10"/>
  <c r="AS249" i="10"/>
  <c r="AS248" i="10"/>
  <c r="AS247" i="10"/>
  <c r="AS246" i="10"/>
  <c r="AS245" i="10"/>
  <c r="AS244" i="10"/>
  <c r="AS243" i="10"/>
  <c r="AS242" i="10"/>
  <c r="AS241" i="10"/>
  <c r="AS240" i="10"/>
  <c r="AS239" i="10"/>
  <c r="AS238" i="10"/>
  <c r="AS237" i="10"/>
  <c r="AS236" i="10"/>
  <c r="AS235" i="10"/>
  <c r="AS234" i="10"/>
  <c r="AS233" i="10"/>
  <c r="AS232" i="10"/>
  <c r="AS231" i="10"/>
  <c r="AS230" i="10"/>
  <c r="AS229" i="10"/>
  <c r="AS228" i="10"/>
  <c r="AS227" i="10"/>
  <c r="AS226" i="10"/>
  <c r="AS225" i="10"/>
  <c r="AS224" i="10"/>
  <c r="AS223" i="10"/>
  <c r="AS222" i="10"/>
  <c r="AS221" i="10"/>
  <c r="AS220" i="10"/>
  <c r="AS219" i="10"/>
  <c r="AS218" i="10"/>
  <c r="AS217" i="10"/>
  <c r="AS216" i="10"/>
  <c r="AS215" i="10"/>
  <c r="AS214" i="10"/>
  <c r="AS213" i="10"/>
  <c r="AS212" i="10"/>
  <c r="AS211" i="10"/>
  <c r="AS210" i="10"/>
  <c r="AS209" i="10"/>
  <c r="AS208" i="10"/>
  <c r="AS207" i="10"/>
  <c r="AS206" i="10"/>
  <c r="AS205" i="10"/>
  <c r="AS204" i="10"/>
  <c r="AS203" i="10"/>
  <c r="AS202" i="10"/>
  <c r="AS201" i="10"/>
  <c r="AS200" i="10"/>
  <c r="AS199" i="10"/>
  <c r="AS198" i="10"/>
  <c r="AS197" i="10"/>
  <c r="AS196" i="10"/>
  <c r="AS195" i="10"/>
  <c r="AS194" i="10"/>
  <c r="AS193" i="10"/>
  <c r="AS192" i="10"/>
  <c r="AS191" i="10"/>
  <c r="AS190" i="10"/>
  <c r="AS189" i="10"/>
  <c r="AS188" i="10"/>
  <c r="AS187" i="10"/>
  <c r="AS186" i="10"/>
  <c r="AS185" i="10"/>
  <c r="AS184" i="10"/>
  <c r="AS183" i="10"/>
  <c r="AS182" i="10"/>
  <c r="AS181" i="10"/>
  <c r="AS180" i="10"/>
  <c r="AS179" i="10"/>
  <c r="AS178" i="10"/>
  <c r="AS177" i="10"/>
  <c r="AS176" i="10"/>
  <c r="AS175" i="10"/>
  <c r="AS174" i="10"/>
  <c r="AS173" i="10"/>
  <c r="AS172" i="10"/>
  <c r="AS171" i="10"/>
  <c r="AS170" i="10"/>
  <c r="AS169" i="10"/>
  <c r="AS168" i="10"/>
  <c r="AS167" i="10"/>
  <c r="AS166" i="10"/>
  <c r="AS165" i="10"/>
  <c r="AS164" i="10"/>
  <c r="AS163" i="10"/>
  <c r="AS162" i="10"/>
  <c r="AS161" i="10"/>
  <c r="AS160" i="10"/>
  <c r="AS159" i="10"/>
  <c r="AS158" i="10"/>
  <c r="AS157" i="10"/>
  <c r="AS156" i="10"/>
  <c r="AS155" i="10"/>
  <c r="AS154" i="10"/>
  <c r="AS153" i="10"/>
  <c r="AS152" i="10"/>
  <c r="AS151" i="10"/>
  <c r="AS150" i="10"/>
  <c r="AS149" i="10"/>
  <c r="AS148" i="10"/>
  <c r="AS147" i="10"/>
  <c r="AS146" i="10"/>
  <c r="AS145" i="10"/>
  <c r="AS144" i="10"/>
  <c r="AS143" i="10"/>
  <c r="AS142" i="10"/>
  <c r="AS141" i="10"/>
  <c r="AS140" i="10"/>
  <c r="AS139" i="10"/>
  <c r="AS138" i="10"/>
  <c r="AS137" i="10"/>
  <c r="AS136" i="10"/>
  <c r="AS135" i="10"/>
  <c r="AS134" i="10"/>
  <c r="AS133" i="10"/>
  <c r="AS132" i="10"/>
  <c r="AS131" i="10"/>
  <c r="AS130" i="10"/>
  <c r="AS129" i="10"/>
  <c r="AS128" i="10"/>
  <c r="AS127" i="10"/>
  <c r="AS126" i="10"/>
  <c r="AS125" i="10"/>
  <c r="AS124" i="10"/>
  <c r="AS123" i="10"/>
  <c r="AS122" i="10"/>
  <c r="AS121" i="10"/>
  <c r="AS120" i="10"/>
  <c r="AS119" i="10"/>
  <c r="AS118" i="10"/>
  <c r="AS117" i="10"/>
  <c r="AS116" i="10"/>
  <c r="AS115" i="10"/>
  <c r="AS114" i="10"/>
  <c r="AS113" i="10"/>
  <c r="AS112" i="10"/>
  <c r="AS111" i="10"/>
  <c r="AS110" i="10"/>
  <c r="AS109" i="10"/>
  <c r="AS108" i="10"/>
  <c r="AS107" i="10"/>
  <c r="AS106" i="10"/>
  <c r="AS105" i="10"/>
  <c r="AS104" i="10"/>
  <c r="AS103" i="10"/>
  <c r="AS102" i="10"/>
  <c r="AS101" i="10"/>
  <c r="AS100" i="10"/>
  <c r="AS99" i="10"/>
  <c r="AS98" i="10"/>
  <c r="AS97" i="10"/>
  <c r="AS96" i="10"/>
  <c r="AS95" i="10"/>
  <c r="AS94" i="10"/>
  <c r="AS93" i="10"/>
  <c r="AS92" i="10"/>
  <c r="AS91" i="10"/>
  <c r="AS90" i="10"/>
  <c r="AS89" i="10"/>
  <c r="AS88" i="10"/>
  <c r="AS87" i="10"/>
  <c r="AS86" i="10"/>
  <c r="AS85" i="10"/>
  <c r="AS84" i="10"/>
  <c r="AS83" i="10"/>
  <c r="AS82" i="10"/>
  <c r="AS81" i="10"/>
  <c r="AS80" i="10"/>
  <c r="AS79" i="10"/>
  <c r="AS78" i="10"/>
  <c r="AS77" i="10"/>
  <c r="AS76" i="10"/>
  <c r="AS75" i="10"/>
  <c r="AS74" i="10"/>
  <c r="AS73" i="10"/>
  <c r="AS72" i="10"/>
  <c r="AS71" i="10"/>
  <c r="AS70" i="10"/>
  <c r="AS69" i="10"/>
  <c r="AS68" i="10"/>
  <c r="AS67" i="10"/>
  <c r="AS66" i="10"/>
  <c r="AS65" i="10"/>
  <c r="AS64" i="10"/>
  <c r="AS63" i="10"/>
  <c r="AS62" i="10"/>
  <c r="AS61" i="10"/>
  <c r="AS60" i="10"/>
  <c r="AS59" i="10"/>
  <c r="AS58" i="10"/>
  <c r="AS57" i="10"/>
  <c r="AS56" i="10"/>
  <c r="AS55" i="10"/>
  <c r="AS54" i="10"/>
  <c r="AS53" i="10"/>
  <c r="AS52" i="10"/>
  <c r="AS51" i="10"/>
  <c r="AS50" i="10"/>
  <c r="AS49" i="10"/>
  <c r="AS48" i="10"/>
  <c r="AS47" i="10"/>
  <c r="AS46" i="10"/>
  <c r="AS45" i="10"/>
  <c r="AS44" i="10"/>
  <c r="AS43" i="10"/>
  <c r="AS42" i="10"/>
  <c r="AS41" i="10"/>
  <c r="AS40" i="10"/>
  <c r="AS39" i="10"/>
  <c r="AS38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S15" i="10"/>
  <c r="AS14" i="10"/>
  <c r="AS13" i="10"/>
  <c r="AS12" i="10"/>
  <c r="AS11" i="10"/>
  <c r="AS10" i="10"/>
  <c r="AS9" i="10"/>
  <c r="AS8" i="10"/>
  <c r="AS7" i="10"/>
  <c r="AS6" i="10"/>
  <c r="AS5" i="10"/>
  <c r="AS4" i="10"/>
  <c r="AS3" i="10"/>
  <c r="AP258" i="10"/>
  <c r="AP257" i="10"/>
  <c r="AP256" i="10"/>
  <c r="AP255" i="10"/>
  <c r="AP254" i="10"/>
  <c r="AP253" i="10"/>
  <c r="AP252" i="10"/>
  <c r="AP251" i="10"/>
  <c r="AP250" i="10"/>
  <c r="AP249" i="10"/>
  <c r="AP248" i="10"/>
  <c r="AP247" i="10"/>
  <c r="AP246" i="10"/>
  <c r="AP245" i="10"/>
  <c r="AP244" i="10"/>
  <c r="AP243" i="10"/>
  <c r="AP242" i="10"/>
  <c r="AP241" i="10"/>
  <c r="AP240" i="10"/>
  <c r="AP239" i="10"/>
  <c r="AP238" i="10"/>
  <c r="AP237" i="10"/>
  <c r="AP236" i="10"/>
  <c r="AP235" i="10"/>
  <c r="AP234" i="10"/>
  <c r="AP233" i="10"/>
  <c r="AP232" i="10"/>
  <c r="AP231" i="10"/>
  <c r="AP230" i="10"/>
  <c r="AP229" i="10"/>
  <c r="AP228" i="10"/>
  <c r="AP227" i="10"/>
  <c r="AP226" i="10"/>
  <c r="AP225" i="10"/>
  <c r="AP224" i="10"/>
  <c r="AP223" i="10"/>
  <c r="AP222" i="10"/>
  <c r="AP221" i="10"/>
  <c r="AP220" i="10"/>
  <c r="AP219" i="10"/>
  <c r="AP218" i="10"/>
  <c r="AP217" i="10"/>
  <c r="AP216" i="10"/>
  <c r="AP215" i="10"/>
  <c r="AP214" i="10"/>
  <c r="AP213" i="10"/>
  <c r="AP212" i="10"/>
  <c r="AP211" i="10"/>
  <c r="AP210" i="10"/>
  <c r="AP209" i="10"/>
  <c r="AP208" i="10"/>
  <c r="AP207" i="10"/>
  <c r="AP206" i="10"/>
  <c r="AP205" i="10"/>
  <c r="AP204" i="10"/>
  <c r="AP203" i="10"/>
  <c r="AP202" i="10"/>
  <c r="AP201" i="10"/>
  <c r="AP200" i="10"/>
  <c r="AP199" i="10"/>
  <c r="AP198" i="10"/>
  <c r="AP197" i="10"/>
  <c r="AP196" i="10"/>
  <c r="AP195" i="10"/>
  <c r="AP194" i="10"/>
  <c r="AP193" i="10"/>
  <c r="AP192" i="10"/>
  <c r="AP191" i="10"/>
  <c r="AP190" i="10"/>
  <c r="AP189" i="10"/>
  <c r="AP188" i="10"/>
  <c r="AP187" i="10"/>
  <c r="AP186" i="10"/>
  <c r="AP185" i="10"/>
  <c r="AP184" i="10"/>
  <c r="AP183" i="10"/>
  <c r="AP182" i="10"/>
  <c r="AP181" i="10"/>
  <c r="AP180" i="10"/>
  <c r="AP179" i="10"/>
  <c r="AP178" i="10"/>
  <c r="AP177" i="10"/>
  <c r="AP176" i="10"/>
  <c r="AP175" i="10"/>
  <c r="AP174" i="10"/>
  <c r="AP173" i="10"/>
  <c r="AP172" i="10"/>
  <c r="AP171" i="10"/>
  <c r="AP170" i="10"/>
  <c r="AP169" i="10"/>
  <c r="AP168" i="10"/>
  <c r="AP167" i="10"/>
  <c r="AP166" i="10"/>
  <c r="AP165" i="10"/>
  <c r="AP164" i="10"/>
  <c r="AP163" i="10"/>
  <c r="AP162" i="10"/>
  <c r="AP161" i="10"/>
  <c r="AP160" i="10"/>
  <c r="AP159" i="10"/>
  <c r="AP158" i="10"/>
  <c r="AP157" i="10"/>
  <c r="AP156" i="10"/>
  <c r="AP155" i="10"/>
  <c r="AP154" i="10"/>
  <c r="AP153" i="10"/>
  <c r="AP152" i="10"/>
  <c r="AP151" i="10"/>
  <c r="AP150" i="10"/>
  <c r="AP149" i="10"/>
  <c r="AP148" i="10"/>
  <c r="AP147" i="10"/>
  <c r="AP146" i="10"/>
  <c r="AP145" i="10"/>
  <c r="AP144" i="10"/>
  <c r="AP143" i="10"/>
  <c r="AP142" i="10"/>
  <c r="AP141" i="10"/>
  <c r="AP140" i="10"/>
  <c r="AP139" i="10"/>
  <c r="AP138" i="10"/>
  <c r="AP137" i="10"/>
  <c r="AP136" i="10"/>
  <c r="AP135" i="10"/>
  <c r="AP134" i="10"/>
  <c r="AP133" i="10"/>
  <c r="AP132" i="10"/>
  <c r="AP131" i="10"/>
  <c r="AP130" i="10"/>
  <c r="AP129" i="10"/>
  <c r="AP128" i="10"/>
  <c r="AP127" i="10"/>
  <c r="AP126" i="10"/>
  <c r="AP125" i="10"/>
  <c r="AP124" i="10"/>
  <c r="AP123" i="10"/>
  <c r="AP122" i="10"/>
  <c r="AP121" i="10"/>
  <c r="AP120" i="10"/>
  <c r="AP119" i="10"/>
  <c r="AP118" i="10"/>
  <c r="AP117" i="10"/>
  <c r="AP116" i="10"/>
  <c r="AP115" i="10"/>
  <c r="AP114" i="10"/>
  <c r="AP113" i="10"/>
  <c r="AP112" i="10"/>
  <c r="AP111" i="10"/>
  <c r="AP110" i="10"/>
  <c r="AP109" i="10"/>
  <c r="AP108" i="10"/>
  <c r="AP107" i="10"/>
  <c r="AP106" i="10"/>
  <c r="AP105" i="10"/>
  <c r="AP104" i="10"/>
  <c r="AP103" i="10"/>
  <c r="AP102" i="10"/>
  <c r="AP101" i="10"/>
  <c r="AP100" i="10"/>
  <c r="AP99" i="10"/>
  <c r="AP98" i="10"/>
  <c r="AP97" i="10"/>
  <c r="AP96" i="10"/>
  <c r="AP95" i="10"/>
  <c r="AP94" i="10"/>
  <c r="AP93" i="10"/>
  <c r="AP92" i="10"/>
  <c r="AP91" i="10"/>
  <c r="AP90" i="10"/>
  <c r="AP89" i="10"/>
  <c r="AP88" i="10"/>
  <c r="AP87" i="10"/>
  <c r="AP86" i="10"/>
  <c r="AP85" i="10"/>
  <c r="AP84" i="10"/>
  <c r="AP83" i="10"/>
  <c r="AP82" i="10"/>
  <c r="AP81" i="10"/>
  <c r="AP80" i="10"/>
  <c r="AP79" i="10"/>
  <c r="AP78" i="10"/>
  <c r="AP77" i="10"/>
  <c r="AP76" i="10"/>
  <c r="AP75" i="10"/>
  <c r="AP74" i="10"/>
  <c r="AP73" i="10"/>
  <c r="AP72" i="10"/>
  <c r="AP71" i="10"/>
  <c r="AP70" i="10"/>
  <c r="AP69" i="10"/>
  <c r="AP68" i="10"/>
  <c r="AP67" i="10"/>
  <c r="AP66" i="10"/>
  <c r="AP65" i="10"/>
  <c r="AP64" i="10"/>
  <c r="AP63" i="10"/>
  <c r="AP62" i="10"/>
  <c r="AP61" i="10"/>
  <c r="AP60" i="10"/>
  <c r="AP59" i="10"/>
  <c r="AP58" i="10"/>
  <c r="AP57" i="10"/>
  <c r="AP56" i="10"/>
  <c r="AP55" i="10"/>
  <c r="AP54" i="10"/>
  <c r="AP53" i="10"/>
  <c r="AP52" i="10"/>
  <c r="AP51" i="10"/>
  <c r="AP50" i="10"/>
  <c r="AP49" i="10"/>
  <c r="AP48" i="10"/>
  <c r="AP47" i="10"/>
  <c r="AP46" i="10"/>
  <c r="AP45" i="10"/>
  <c r="AP44" i="10"/>
  <c r="AP43" i="10"/>
  <c r="AP42" i="10"/>
  <c r="AP41" i="10"/>
  <c r="AP40" i="10"/>
  <c r="AP39" i="10"/>
  <c r="AP38" i="10"/>
  <c r="AP37" i="10"/>
  <c r="AP36" i="10"/>
  <c r="AP35" i="10"/>
  <c r="AP34" i="10"/>
  <c r="AP33" i="10"/>
  <c r="AP32" i="10"/>
  <c r="AP31" i="10"/>
  <c r="AP30" i="10"/>
  <c r="AP29" i="10"/>
  <c r="AP28" i="10"/>
  <c r="AP27" i="10"/>
  <c r="AP26" i="10"/>
  <c r="AP25" i="10"/>
  <c r="AP24" i="10"/>
  <c r="AP23" i="10"/>
  <c r="AP22" i="10"/>
  <c r="AP21" i="10"/>
  <c r="AP20" i="10"/>
  <c r="AP19" i="10"/>
  <c r="AP18" i="10"/>
  <c r="AP17" i="10"/>
  <c r="AP16" i="10"/>
  <c r="AP15" i="10"/>
  <c r="AP14" i="10"/>
  <c r="AP13" i="10"/>
  <c r="AP12" i="10"/>
  <c r="AP11" i="10"/>
  <c r="AP10" i="10"/>
  <c r="AP9" i="10"/>
  <c r="AP8" i="10"/>
  <c r="AP7" i="10"/>
  <c r="AP6" i="10"/>
  <c r="AP5" i="10"/>
  <c r="AP4" i="10"/>
  <c r="AP3" i="10"/>
  <c r="AM258" i="10"/>
  <c r="AM257" i="10"/>
  <c r="AM256" i="10"/>
  <c r="AM255" i="10"/>
  <c r="AM254" i="10"/>
  <c r="AM253" i="10"/>
  <c r="AM252" i="10"/>
  <c r="AM251" i="10"/>
  <c r="AM250" i="10"/>
  <c r="AM249" i="10"/>
  <c r="AM248" i="10"/>
  <c r="AM247" i="10"/>
  <c r="AM246" i="10"/>
  <c r="AM245" i="10"/>
  <c r="AM244" i="10"/>
  <c r="AM243" i="10"/>
  <c r="AM242" i="10"/>
  <c r="AM241" i="10"/>
  <c r="AM240" i="10"/>
  <c r="AM239" i="10"/>
  <c r="AM238" i="10"/>
  <c r="AM237" i="10"/>
  <c r="AM236" i="10"/>
  <c r="AM235" i="10"/>
  <c r="AM234" i="10"/>
  <c r="AM233" i="10"/>
  <c r="AM232" i="10"/>
  <c r="AM231" i="10"/>
  <c r="AM230" i="10"/>
  <c r="AM229" i="10"/>
  <c r="AM228" i="10"/>
  <c r="AM227" i="10"/>
  <c r="AM226" i="10"/>
  <c r="AM225" i="10"/>
  <c r="AM224" i="10"/>
  <c r="AM223" i="10"/>
  <c r="AM222" i="10"/>
  <c r="AM221" i="10"/>
  <c r="AM220" i="10"/>
  <c r="AM219" i="10"/>
  <c r="AM218" i="10"/>
  <c r="AM217" i="10"/>
  <c r="AM216" i="10"/>
  <c r="AM215" i="10"/>
  <c r="AM214" i="10"/>
  <c r="AM213" i="10"/>
  <c r="AM212" i="10"/>
  <c r="AM211" i="10"/>
  <c r="AM210" i="10"/>
  <c r="AM209" i="10"/>
  <c r="AM208" i="10"/>
  <c r="AM207" i="10"/>
  <c r="AM206" i="10"/>
  <c r="AM205" i="10"/>
  <c r="AM204" i="10"/>
  <c r="AM203" i="10"/>
  <c r="AM202" i="10"/>
  <c r="AM201" i="10"/>
  <c r="AM200" i="10"/>
  <c r="AM199" i="10"/>
  <c r="AM198" i="10"/>
  <c r="AM197" i="10"/>
  <c r="AM196" i="10"/>
  <c r="AM195" i="10"/>
  <c r="AM194" i="10"/>
  <c r="AM193" i="10"/>
  <c r="AM192" i="10"/>
  <c r="AM191" i="10"/>
  <c r="AM190" i="10"/>
  <c r="AM189" i="10"/>
  <c r="AM188" i="10"/>
  <c r="AM187" i="10"/>
  <c r="AM186" i="10"/>
  <c r="AM185" i="10"/>
  <c r="AM184" i="10"/>
  <c r="AM183" i="10"/>
  <c r="AM182" i="10"/>
  <c r="AM181" i="10"/>
  <c r="AM180" i="10"/>
  <c r="AM179" i="10"/>
  <c r="AM178" i="10"/>
  <c r="AM177" i="10"/>
  <c r="AM176" i="10"/>
  <c r="AM175" i="10"/>
  <c r="AM174" i="10"/>
  <c r="AM173" i="10"/>
  <c r="AM172" i="10"/>
  <c r="AM171" i="10"/>
  <c r="AM170" i="10"/>
  <c r="AM169" i="10"/>
  <c r="AM168" i="10"/>
  <c r="AM167" i="10"/>
  <c r="AM166" i="10"/>
  <c r="AM165" i="10"/>
  <c r="AM164" i="10"/>
  <c r="AM163" i="10"/>
  <c r="AM162" i="10"/>
  <c r="AM161" i="10"/>
  <c r="AM160" i="10"/>
  <c r="AM159" i="10"/>
  <c r="AM158" i="10"/>
  <c r="AM157" i="10"/>
  <c r="AM156" i="10"/>
  <c r="AM155" i="10"/>
  <c r="AM154" i="10"/>
  <c r="AM153" i="10"/>
  <c r="AM152" i="10"/>
  <c r="AM151" i="10"/>
  <c r="AM150" i="10"/>
  <c r="AM149" i="10"/>
  <c r="AM148" i="10"/>
  <c r="AM147" i="10"/>
  <c r="AM146" i="10"/>
  <c r="AM145" i="10"/>
  <c r="AM144" i="10"/>
  <c r="AM143" i="10"/>
  <c r="AM142" i="10"/>
  <c r="AM141" i="10"/>
  <c r="AM140" i="10"/>
  <c r="AM139" i="10"/>
  <c r="AM138" i="10"/>
  <c r="AM137" i="10"/>
  <c r="AM136" i="10"/>
  <c r="AM135" i="10"/>
  <c r="AM134" i="10"/>
  <c r="AM133" i="10"/>
  <c r="AM132" i="10"/>
  <c r="AM131" i="10"/>
  <c r="AM130" i="10"/>
  <c r="AM129" i="10"/>
  <c r="AM128" i="10"/>
  <c r="AM127" i="10"/>
  <c r="AM126" i="10"/>
  <c r="AM125" i="10"/>
  <c r="AM124" i="10"/>
  <c r="AM123" i="10"/>
  <c r="AM122" i="10"/>
  <c r="AM121" i="10"/>
  <c r="AM120" i="10"/>
  <c r="AM119" i="10"/>
  <c r="AM118" i="10"/>
  <c r="AM117" i="10"/>
  <c r="AM116" i="10"/>
  <c r="AM115" i="10"/>
  <c r="AM114" i="10"/>
  <c r="AM113" i="10"/>
  <c r="AM112" i="10"/>
  <c r="AM111" i="10"/>
  <c r="AM110" i="10"/>
  <c r="AM109" i="10"/>
  <c r="AM108" i="10"/>
  <c r="AM107" i="10"/>
  <c r="AM106" i="10"/>
  <c r="AM105" i="10"/>
  <c r="AM104" i="10"/>
  <c r="AM103" i="10"/>
  <c r="AM102" i="10"/>
  <c r="AM101" i="10"/>
  <c r="AM100" i="10"/>
  <c r="AM99" i="10"/>
  <c r="AM98" i="10"/>
  <c r="AM97" i="10"/>
  <c r="AM96" i="10"/>
  <c r="AM95" i="10"/>
  <c r="AM94" i="10"/>
  <c r="AM93" i="10"/>
  <c r="AM92" i="10"/>
  <c r="AM91" i="10"/>
  <c r="AM90" i="10"/>
  <c r="AM89" i="10"/>
  <c r="AM88" i="10"/>
  <c r="AM87" i="10"/>
  <c r="AM86" i="10"/>
  <c r="AM85" i="10"/>
  <c r="AM84" i="10"/>
  <c r="AM83" i="10"/>
  <c r="AM82" i="10"/>
  <c r="AM81" i="10"/>
  <c r="AM80" i="10"/>
  <c r="AM79" i="10"/>
  <c r="AM78" i="10"/>
  <c r="AM77" i="10"/>
  <c r="AM76" i="10"/>
  <c r="AM75" i="10"/>
  <c r="AM74" i="10"/>
  <c r="AM73" i="10"/>
  <c r="AM72" i="10"/>
  <c r="AM71" i="10"/>
  <c r="AM70" i="10"/>
  <c r="AM69" i="10"/>
  <c r="AM68" i="10"/>
  <c r="AM67" i="10"/>
  <c r="AM66" i="10"/>
  <c r="AM65" i="10"/>
  <c r="AM64" i="10"/>
  <c r="AM63" i="10"/>
  <c r="AM62" i="10"/>
  <c r="AM61" i="10"/>
  <c r="AM60" i="10"/>
  <c r="AM59" i="10"/>
  <c r="AM58" i="10"/>
  <c r="AM57" i="10"/>
  <c r="AM56" i="10"/>
  <c r="AM55" i="10"/>
  <c r="AM54" i="10"/>
  <c r="AM53" i="10"/>
  <c r="AM52" i="10"/>
  <c r="AM51" i="10"/>
  <c r="AM50" i="10"/>
  <c r="AM49" i="10"/>
  <c r="AM48" i="10"/>
  <c r="AM47" i="10"/>
  <c r="AM46" i="10"/>
  <c r="AM45" i="10"/>
  <c r="AM44" i="10"/>
  <c r="AM43" i="10"/>
  <c r="AM42" i="10"/>
  <c r="AM41" i="10"/>
  <c r="AM40" i="10"/>
  <c r="AM39" i="10"/>
  <c r="AM38" i="10"/>
  <c r="AM37" i="10"/>
  <c r="AM36" i="10"/>
  <c r="AM35" i="10"/>
  <c r="AM34" i="10"/>
  <c r="AM33" i="10"/>
  <c r="AM32" i="10"/>
  <c r="AM31" i="10"/>
  <c r="AM30" i="10"/>
  <c r="AM29" i="10"/>
  <c r="AM28" i="10"/>
  <c r="AM27" i="10"/>
  <c r="AM26" i="10"/>
  <c r="AM25" i="10"/>
  <c r="AM24" i="10"/>
  <c r="AM23" i="10"/>
  <c r="AM22" i="10"/>
  <c r="AM21" i="10"/>
  <c r="AM20" i="10"/>
  <c r="AM19" i="10"/>
  <c r="AM18" i="10"/>
  <c r="AM17" i="10"/>
  <c r="AM16" i="10"/>
  <c r="AM15" i="10"/>
  <c r="AM14" i="10"/>
  <c r="AM13" i="10"/>
  <c r="AM12" i="10"/>
  <c r="AM11" i="10"/>
  <c r="AM10" i="10"/>
  <c r="AM9" i="10"/>
  <c r="AM8" i="10"/>
  <c r="AM7" i="10"/>
  <c r="AM6" i="10"/>
  <c r="AM5" i="10"/>
  <c r="AM4" i="10"/>
  <c r="AM3" i="10"/>
  <c r="AJ258" i="10"/>
  <c r="AJ257" i="10"/>
  <c r="AJ256" i="10"/>
  <c r="AJ255" i="10"/>
  <c r="AJ254" i="10"/>
  <c r="AJ253" i="10"/>
  <c r="AJ252" i="10"/>
  <c r="AJ251" i="10"/>
  <c r="AJ250" i="10"/>
  <c r="AJ249" i="10"/>
  <c r="AJ248" i="10"/>
  <c r="AJ247" i="10"/>
  <c r="AJ246" i="10"/>
  <c r="AJ245" i="10"/>
  <c r="AJ244" i="10"/>
  <c r="AJ243" i="10"/>
  <c r="AJ242" i="10"/>
  <c r="AJ241" i="10"/>
  <c r="AJ240" i="10"/>
  <c r="AJ239" i="10"/>
  <c r="AJ238" i="10"/>
  <c r="AJ237" i="10"/>
  <c r="AJ236" i="10"/>
  <c r="AJ235" i="10"/>
  <c r="AJ234" i="10"/>
  <c r="AJ233" i="10"/>
  <c r="AJ232" i="10"/>
  <c r="AJ231" i="10"/>
  <c r="AJ230" i="10"/>
  <c r="AJ229" i="10"/>
  <c r="AJ228" i="10"/>
  <c r="AJ227" i="10"/>
  <c r="AJ226" i="10"/>
  <c r="AJ225" i="10"/>
  <c r="AJ224" i="10"/>
  <c r="AJ223" i="10"/>
  <c r="AJ222" i="10"/>
  <c r="AJ221" i="10"/>
  <c r="AJ220" i="10"/>
  <c r="AJ219" i="10"/>
  <c r="AJ218" i="10"/>
  <c r="AJ217" i="10"/>
  <c r="AJ216" i="10"/>
  <c r="AJ215" i="10"/>
  <c r="AJ214" i="10"/>
  <c r="AJ213" i="10"/>
  <c r="AJ212" i="10"/>
  <c r="AJ211" i="10"/>
  <c r="AJ210" i="10"/>
  <c r="AJ209" i="10"/>
  <c r="AJ208" i="10"/>
  <c r="AJ207" i="10"/>
  <c r="AJ206" i="10"/>
  <c r="AJ205" i="10"/>
  <c r="AJ204" i="10"/>
  <c r="AJ203" i="10"/>
  <c r="AJ202" i="10"/>
  <c r="AJ201" i="10"/>
  <c r="AJ200" i="10"/>
  <c r="AJ199" i="10"/>
  <c r="AJ198" i="10"/>
  <c r="AJ197" i="10"/>
  <c r="AJ196" i="10"/>
  <c r="AJ195" i="10"/>
  <c r="AJ194" i="10"/>
  <c r="AJ193" i="10"/>
  <c r="AJ192" i="10"/>
  <c r="AJ191" i="10"/>
  <c r="AJ190" i="10"/>
  <c r="AJ189" i="10"/>
  <c r="AJ188" i="10"/>
  <c r="AJ187" i="10"/>
  <c r="AJ186" i="10"/>
  <c r="AJ185" i="10"/>
  <c r="AJ184" i="10"/>
  <c r="AJ183" i="10"/>
  <c r="AJ182" i="10"/>
  <c r="AJ181" i="10"/>
  <c r="AJ180" i="10"/>
  <c r="AJ179" i="10"/>
  <c r="AJ178" i="10"/>
  <c r="AJ177" i="10"/>
  <c r="AJ176" i="10"/>
  <c r="AJ175" i="10"/>
  <c r="AJ174" i="10"/>
  <c r="AJ173" i="10"/>
  <c r="AJ172" i="10"/>
  <c r="AJ171" i="10"/>
  <c r="AJ170" i="10"/>
  <c r="AJ169" i="10"/>
  <c r="AJ168" i="10"/>
  <c r="AJ167" i="10"/>
  <c r="AJ166" i="10"/>
  <c r="AJ165" i="10"/>
  <c r="AJ164" i="10"/>
  <c r="AJ163" i="10"/>
  <c r="AJ162" i="10"/>
  <c r="AJ161" i="10"/>
  <c r="AJ160" i="10"/>
  <c r="AJ159" i="10"/>
  <c r="AJ158" i="10"/>
  <c r="AJ157" i="10"/>
  <c r="AJ156" i="10"/>
  <c r="AJ155" i="10"/>
  <c r="AJ154" i="10"/>
  <c r="AJ153" i="10"/>
  <c r="AJ152" i="10"/>
  <c r="AJ151" i="10"/>
  <c r="AJ150" i="10"/>
  <c r="AJ149" i="10"/>
  <c r="AJ148" i="10"/>
  <c r="AJ147" i="10"/>
  <c r="AJ146" i="10"/>
  <c r="AJ145" i="10"/>
  <c r="AJ144" i="10"/>
  <c r="AJ143" i="10"/>
  <c r="AJ142" i="10"/>
  <c r="AJ141" i="10"/>
  <c r="AJ140" i="10"/>
  <c r="AJ139" i="10"/>
  <c r="AJ138" i="10"/>
  <c r="AJ137" i="10"/>
  <c r="AJ136" i="10"/>
  <c r="AJ135" i="10"/>
  <c r="AJ134" i="10"/>
  <c r="AJ133" i="10"/>
  <c r="AJ132" i="10"/>
  <c r="AJ131" i="10"/>
  <c r="AJ130" i="10"/>
  <c r="AJ129" i="10"/>
  <c r="AJ128" i="10"/>
  <c r="AJ127" i="10"/>
  <c r="AJ126" i="10"/>
  <c r="AJ125" i="10"/>
  <c r="AJ124" i="10"/>
  <c r="AJ123" i="10"/>
  <c r="AJ122" i="10"/>
  <c r="AJ121" i="10"/>
  <c r="AJ120" i="10"/>
  <c r="AJ119" i="10"/>
  <c r="AJ118" i="10"/>
  <c r="AJ117" i="10"/>
  <c r="AJ116" i="10"/>
  <c r="AJ115" i="10"/>
  <c r="AJ114" i="10"/>
  <c r="AJ113" i="10"/>
  <c r="AJ112" i="10"/>
  <c r="AJ111" i="10"/>
  <c r="AJ110" i="10"/>
  <c r="AJ109" i="10"/>
  <c r="AJ108" i="10"/>
  <c r="AJ107" i="10"/>
  <c r="AJ106" i="10"/>
  <c r="AJ105" i="10"/>
  <c r="AJ104" i="10"/>
  <c r="AJ103" i="10"/>
  <c r="AJ102" i="10"/>
  <c r="AJ101" i="10"/>
  <c r="AJ100" i="10"/>
  <c r="AJ99" i="10"/>
  <c r="AJ98" i="10"/>
  <c r="AJ97" i="10"/>
  <c r="AJ96" i="10"/>
  <c r="AJ95" i="10"/>
  <c r="AJ94" i="10"/>
  <c r="AJ93" i="10"/>
  <c r="AJ92" i="10"/>
  <c r="AJ91" i="10"/>
  <c r="AJ90" i="10"/>
  <c r="AJ89" i="10"/>
  <c r="AJ88" i="10"/>
  <c r="AJ87" i="10"/>
  <c r="AJ86" i="10"/>
  <c r="AJ85" i="10"/>
  <c r="AJ84" i="10"/>
  <c r="AJ83" i="10"/>
  <c r="AJ82" i="10"/>
  <c r="AJ81" i="10"/>
  <c r="AJ80" i="10"/>
  <c r="AJ79" i="10"/>
  <c r="AJ78" i="10"/>
  <c r="AJ77" i="10"/>
  <c r="AJ76" i="10"/>
  <c r="AJ75" i="10"/>
  <c r="AJ74" i="10"/>
  <c r="AJ73" i="10"/>
  <c r="AJ72" i="10"/>
  <c r="AJ71" i="10"/>
  <c r="AJ70" i="10"/>
  <c r="AJ69" i="10"/>
  <c r="AJ68" i="10"/>
  <c r="AJ67" i="10"/>
  <c r="AJ66" i="10"/>
  <c r="AJ65" i="10"/>
  <c r="AJ64" i="10"/>
  <c r="AJ63" i="10"/>
  <c r="AJ62" i="10"/>
  <c r="AJ61" i="10"/>
  <c r="AJ60" i="10"/>
  <c r="AJ59" i="10"/>
  <c r="AJ58" i="10"/>
  <c r="AJ57" i="10"/>
  <c r="AJ56" i="10"/>
  <c r="AJ55" i="10"/>
  <c r="AJ54" i="10"/>
  <c r="AJ53" i="10"/>
  <c r="AJ52" i="10"/>
  <c r="AJ51" i="10"/>
  <c r="AJ50" i="10"/>
  <c r="AJ49" i="10"/>
  <c r="AJ48" i="10"/>
  <c r="AJ47" i="10"/>
  <c r="AJ46" i="10"/>
  <c r="AJ45" i="10"/>
  <c r="AJ44" i="10"/>
  <c r="AJ43" i="10"/>
  <c r="AJ42" i="10"/>
  <c r="AJ41" i="10"/>
  <c r="AJ40" i="10"/>
  <c r="AJ39" i="10"/>
  <c r="AJ38" i="10"/>
  <c r="AJ37" i="10"/>
  <c r="AJ36" i="10"/>
  <c r="AJ35" i="10"/>
  <c r="AJ34" i="10"/>
  <c r="AJ33" i="10"/>
  <c r="AJ32" i="10"/>
  <c r="AJ31" i="10"/>
  <c r="AJ30" i="10"/>
  <c r="AJ29" i="10"/>
  <c r="AJ28" i="10"/>
  <c r="AJ27" i="10"/>
  <c r="AJ26" i="10"/>
  <c r="AJ25" i="10"/>
  <c r="AJ24" i="10"/>
  <c r="AJ23" i="10"/>
  <c r="AJ22" i="10"/>
  <c r="AJ21" i="10"/>
  <c r="AJ20" i="10"/>
  <c r="AJ19" i="10"/>
  <c r="AJ18" i="10"/>
  <c r="AJ17" i="10"/>
  <c r="AJ16" i="10"/>
  <c r="AJ15" i="10"/>
  <c r="AJ14" i="10"/>
  <c r="AJ13" i="10"/>
  <c r="AJ12" i="10"/>
  <c r="AJ11" i="10"/>
  <c r="AJ10" i="10"/>
  <c r="AJ9" i="10"/>
  <c r="AJ8" i="10"/>
  <c r="AJ7" i="10"/>
  <c r="AJ6" i="10"/>
  <c r="AJ5" i="10"/>
  <c r="AJ4" i="10"/>
  <c r="AJ3" i="10"/>
  <c r="AG258" i="10"/>
  <c r="AG257" i="10"/>
  <c r="AG256" i="10"/>
  <c r="AG255" i="10"/>
  <c r="AG254" i="10"/>
  <c r="AG253" i="10"/>
  <c r="AG252" i="10"/>
  <c r="AG251" i="10"/>
  <c r="AG250" i="10"/>
  <c r="AG249" i="10"/>
  <c r="AG248" i="10"/>
  <c r="AG247" i="10"/>
  <c r="AG246" i="10"/>
  <c r="AG245" i="10"/>
  <c r="AG244" i="10"/>
  <c r="AG243" i="10"/>
  <c r="AG242" i="10"/>
  <c r="AG241" i="10"/>
  <c r="AG240" i="10"/>
  <c r="AG239" i="10"/>
  <c r="AG238" i="10"/>
  <c r="AG237" i="10"/>
  <c r="AG236" i="10"/>
  <c r="AG235" i="10"/>
  <c r="AG234" i="10"/>
  <c r="AG233" i="10"/>
  <c r="AG232" i="10"/>
  <c r="AG231" i="10"/>
  <c r="AG230" i="10"/>
  <c r="AG229" i="10"/>
  <c r="AG228" i="10"/>
  <c r="AG227" i="10"/>
  <c r="AG226" i="10"/>
  <c r="AG225" i="10"/>
  <c r="AG224" i="10"/>
  <c r="AG223" i="10"/>
  <c r="AG222" i="10"/>
  <c r="AG221" i="10"/>
  <c r="AG220" i="10"/>
  <c r="AG219" i="10"/>
  <c r="AG218" i="10"/>
  <c r="AG217" i="10"/>
  <c r="AG216" i="10"/>
  <c r="AG215" i="10"/>
  <c r="AG214" i="10"/>
  <c r="AG213" i="10"/>
  <c r="AG212" i="10"/>
  <c r="AG211" i="10"/>
  <c r="AG210" i="10"/>
  <c r="AG209" i="10"/>
  <c r="AG208" i="10"/>
  <c r="AG207" i="10"/>
  <c r="AG206" i="10"/>
  <c r="AG205" i="10"/>
  <c r="AG204" i="10"/>
  <c r="AG203" i="10"/>
  <c r="AG202" i="10"/>
  <c r="AG201" i="10"/>
  <c r="AG200" i="10"/>
  <c r="AG199" i="10"/>
  <c r="AG198" i="10"/>
  <c r="AG197" i="10"/>
  <c r="AG196" i="10"/>
  <c r="AG195" i="10"/>
  <c r="AG194" i="10"/>
  <c r="AG193" i="10"/>
  <c r="AG192" i="10"/>
  <c r="AG191" i="10"/>
  <c r="AG190" i="10"/>
  <c r="AG189" i="10"/>
  <c r="AG188" i="10"/>
  <c r="AG187" i="10"/>
  <c r="AG186" i="10"/>
  <c r="AG185" i="10"/>
  <c r="AG184" i="10"/>
  <c r="AG183" i="10"/>
  <c r="AG182" i="10"/>
  <c r="AG181" i="10"/>
  <c r="AG180" i="10"/>
  <c r="AG179" i="10"/>
  <c r="AG178" i="10"/>
  <c r="AG177" i="10"/>
  <c r="AG176" i="10"/>
  <c r="AG175" i="10"/>
  <c r="AG174" i="10"/>
  <c r="AG173" i="10"/>
  <c r="AG172" i="10"/>
  <c r="AG171" i="10"/>
  <c r="AG170" i="10"/>
  <c r="AG169" i="10"/>
  <c r="AG168" i="10"/>
  <c r="AG167" i="10"/>
  <c r="AG166" i="10"/>
  <c r="AG165" i="10"/>
  <c r="AG164" i="10"/>
  <c r="AG163" i="10"/>
  <c r="AG162" i="10"/>
  <c r="AG161" i="10"/>
  <c r="AG160" i="10"/>
  <c r="AG159" i="10"/>
  <c r="AG158" i="10"/>
  <c r="AG157" i="10"/>
  <c r="AG156" i="10"/>
  <c r="AG155" i="10"/>
  <c r="AG154" i="10"/>
  <c r="AG153" i="10"/>
  <c r="AG152" i="10"/>
  <c r="AG151" i="10"/>
  <c r="AG150" i="10"/>
  <c r="AG149" i="10"/>
  <c r="AG148" i="10"/>
  <c r="AG147" i="10"/>
  <c r="AG146" i="10"/>
  <c r="AG145" i="10"/>
  <c r="AG144" i="10"/>
  <c r="AG143" i="10"/>
  <c r="AG142" i="10"/>
  <c r="AG141" i="10"/>
  <c r="AG140" i="10"/>
  <c r="AG139" i="10"/>
  <c r="AG138" i="10"/>
  <c r="AG137" i="10"/>
  <c r="AG136" i="10"/>
  <c r="AG135" i="10"/>
  <c r="AG134" i="10"/>
  <c r="AG133" i="10"/>
  <c r="AG132" i="10"/>
  <c r="AG131" i="10"/>
  <c r="AG130" i="10"/>
  <c r="AG129" i="10"/>
  <c r="AG128" i="10"/>
  <c r="AG127" i="10"/>
  <c r="AG126" i="10"/>
  <c r="AG125" i="10"/>
  <c r="AG124" i="10"/>
  <c r="AG123" i="10"/>
  <c r="AG122" i="10"/>
  <c r="AG121" i="10"/>
  <c r="AG120" i="10"/>
  <c r="AG119" i="10"/>
  <c r="AG118" i="10"/>
  <c r="AG117" i="10"/>
  <c r="AG116" i="10"/>
  <c r="AG115" i="10"/>
  <c r="AG114" i="10"/>
  <c r="AG113" i="10"/>
  <c r="AG112" i="10"/>
  <c r="AG111" i="10"/>
  <c r="AG110" i="10"/>
  <c r="AG109" i="10"/>
  <c r="AG108" i="10"/>
  <c r="AG107" i="10"/>
  <c r="AG106" i="10"/>
  <c r="AG105" i="10"/>
  <c r="AG104" i="10"/>
  <c r="AG103" i="10"/>
  <c r="AG102" i="10"/>
  <c r="AG101" i="10"/>
  <c r="AG100" i="10"/>
  <c r="AG99" i="10"/>
  <c r="AG98" i="10"/>
  <c r="AG97" i="10"/>
  <c r="AG96" i="10"/>
  <c r="AG95" i="10"/>
  <c r="AG94" i="10"/>
  <c r="AG93" i="10"/>
  <c r="AG92" i="10"/>
  <c r="AG91" i="10"/>
  <c r="AG90" i="10"/>
  <c r="AG89" i="10"/>
  <c r="AG88" i="10"/>
  <c r="AG87" i="10"/>
  <c r="AG86" i="10"/>
  <c r="AG85" i="10"/>
  <c r="AG84" i="10"/>
  <c r="AG83" i="10"/>
  <c r="AG82" i="10"/>
  <c r="AG81" i="10"/>
  <c r="AG80" i="10"/>
  <c r="AG79" i="10"/>
  <c r="AG78" i="10"/>
  <c r="AG77" i="10"/>
  <c r="AG76" i="10"/>
  <c r="AG75" i="10"/>
  <c r="AG74" i="10"/>
  <c r="AG73" i="10"/>
  <c r="AG72" i="10"/>
  <c r="AG71" i="10"/>
  <c r="AG70" i="10"/>
  <c r="AG69" i="10"/>
  <c r="AG68" i="10"/>
  <c r="AG67" i="10"/>
  <c r="AG66" i="10"/>
  <c r="AG65" i="10"/>
  <c r="AG64" i="10"/>
  <c r="AG63" i="10"/>
  <c r="AG62" i="10"/>
  <c r="AG61" i="10"/>
  <c r="AG60" i="10"/>
  <c r="AG59" i="10"/>
  <c r="AG58" i="10"/>
  <c r="AG57" i="10"/>
  <c r="AG56" i="10"/>
  <c r="AG55" i="10"/>
  <c r="AG54" i="10"/>
  <c r="AG53" i="10"/>
  <c r="AG52" i="10"/>
  <c r="AG51" i="10"/>
  <c r="AG50" i="10"/>
  <c r="AG49" i="10"/>
  <c r="AG48" i="10"/>
  <c r="AG47" i="10"/>
  <c r="AG46" i="10"/>
  <c r="AG45" i="10"/>
  <c r="AG44" i="10"/>
  <c r="AG43" i="10"/>
  <c r="AG42" i="10"/>
  <c r="AG41" i="10"/>
  <c r="AG40" i="10"/>
  <c r="AG39" i="10"/>
  <c r="AG38" i="10"/>
  <c r="AG37" i="10"/>
  <c r="AG36" i="10"/>
  <c r="AG35" i="10"/>
  <c r="AG34" i="10"/>
  <c r="AG33" i="10"/>
  <c r="AG32" i="10"/>
  <c r="AG31" i="10"/>
  <c r="AG30" i="10"/>
  <c r="AG29" i="10"/>
  <c r="AG28" i="10"/>
  <c r="AG27" i="10"/>
  <c r="AG26" i="10"/>
  <c r="AG25" i="10"/>
  <c r="AG24" i="10"/>
  <c r="AG23" i="10"/>
  <c r="AG22" i="10"/>
  <c r="AG21" i="10"/>
  <c r="AG20" i="10"/>
  <c r="AG19" i="10"/>
  <c r="AG18" i="10"/>
  <c r="AG17" i="10"/>
  <c r="AG16" i="10"/>
  <c r="AG15" i="10"/>
  <c r="AG14" i="10"/>
  <c r="AG13" i="10"/>
  <c r="AG12" i="10"/>
  <c r="AG11" i="10"/>
  <c r="AG10" i="10"/>
  <c r="AG9" i="10"/>
  <c r="AG8" i="10"/>
  <c r="AG7" i="10"/>
  <c r="AG6" i="10"/>
  <c r="AG5" i="10"/>
  <c r="AG4" i="10"/>
  <c r="AG3" i="10"/>
  <c r="AX2" i="5"/>
  <c r="AW2" i="5"/>
  <c r="AV2" i="5"/>
  <c r="AU2" i="5"/>
  <c r="AT2" i="5"/>
  <c r="AS2" i="5"/>
  <c r="AR2" i="5"/>
  <c r="AQ2" i="5"/>
  <c r="AG8" i="5"/>
  <c r="AF8" i="5"/>
  <c r="AE8" i="5"/>
  <c r="AD8" i="5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AI8" i="5"/>
  <c r="AJ8" i="5"/>
  <c r="AK8" i="5"/>
  <c r="AL8" i="5"/>
  <c r="AM8" i="5"/>
  <c r="AN8" i="5"/>
  <c r="AP8" i="5"/>
  <c r="AO8" i="5"/>
  <c r="AI7" i="5"/>
  <c r="AI6" i="5"/>
  <c r="AA8" i="5"/>
  <c r="AB8" i="5"/>
  <c r="AC8" i="5"/>
  <c r="AH8" i="5"/>
  <c r="AA7" i="5"/>
  <c r="AA6" i="5"/>
  <c r="S8" i="5"/>
  <c r="T8" i="5"/>
  <c r="U8" i="5"/>
  <c r="V8" i="5"/>
  <c r="W8" i="5"/>
  <c r="X8" i="5"/>
  <c r="Y8" i="5"/>
  <c r="Z8" i="5"/>
  <c r="S7" i="5"/>
  <c r="S6" i="5"/>
  <c r="K8" i="5"/>
  <c r="L8" i="5"/>
  <c r="M8" i="5"/>
  <c r="O8" i="5"/>
  <c r="P8" i="5"/>
  <c r="R8" i="5"/>
  <c r="N8" i="5"/>
  <c r="Q8" i="5"/>
  <c r="K7" i="5"/>
  <c r="K6" i="5"/>
  <c r="C8" i="5"/>
  <c r="D8" i="5"/>
  <c r="E8" i="5"/>
  <c r="F8" i="5"/>
  <c r="G8" i="5"/>
  <c r="H8" i="5"/>
  <c r="I8" i="5"/>
  <c r="J8" i="5"/>
  <c r="C7" i="5"/>
  <c r="C6" i="5"/>
  <c r="C197" i="2"/>
  <c r="B197" i="2"/>
  <c r="G195" i="2"/>
  <c r="G194" i="2"/>
  <c r="G193" i="2"/>
  <c r="G192" i="2"/>
  <c r="G191" i="2"/>
  <c r="G190" i="2"/>
  <c r="G189" i="2"/>
  <c r="C189" i="2"/>
  <c r="B189" i="2"/>
  <c r="G188" i="2"/>
  <c r="G187" i="2"/>
  <c r="G186" i="2"/>
  <c r="G185" i="2"/>
  <c r="G184" i="2"/>
  <c r="G183" i="2"/>
  <c r="G182" i="2"/>
  <c r="G181" i="2"/>
  <c r="C181" i="2"/>
  <c r="B181" i="2"/>
  <c r="C173" i="2"/>
  <c r="B173" i="2"/>
  <c r="C165" i="2"/>
  <c r="B165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C157" i="2"/>
  <c r="B157" i="2"/>
  <c r="C149" i="2"/>
  <c r="B149" i="2"/>
  <c r="C141" i="2"/>
  <c r="B141" i="2"/>
  <c r="C133" i="2"/>
  <c r="B133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98" i="2"/>
  <c r="G197" i="2"/>
  <c r="C125" i="2"/>
  <c r="C117" i="2"/>
  <c r="C109" i="2"/>
  <c r="C101" i="2"/>
  <c r="C93" i="2"/>
  <c r="C85" i="2"/>
  <c r="C77" i="2"/>
  <c r="C69" i="2"/>
  <c r="C61" i="2"/>
  <c r="C53" i="2"/>
  <c r="B125" i="2"/>
  <c r="B117" i="2"/>
  <c r="B109" i="2"/>
  <c r="B101" i="2"/>
  <c r="B93" i="2"/>
  <c r="B85" i="2"/>
  <c r="B77" i="2"/>
  <c r="B69" i="2"/>
  <c r="B61" i="2"/>
  <c r="B53" i="2"/>
  <c r="C45" i="2"/>
  <c r="B45" i="2"/>
  <c r="C37" i="2"/>
  <c r="B37" i="2"/>
  <c r="B29" i="2"/>
  <c r="B21" i="2"/>
  <c r="C13" i="2"/>
  <c r="B13" i="2"/>
  <c r="C4" i="2"/>
  <c r="B4" i="2"/>
  <c r="G200" i="2"/>
  <c r="G199" i="2"/>
  <c r="G196" i="2"/>
  <c r="G164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4" i="2"/>
  <c r="G47" i="2"/>
  <c r="G46" i="2"/>
  <c r="G45" i="2"/>
  <c r="G44" i="2"/>
  <c r="G43" i="2"/>
  <c r="G42" i="2"/>
  <c r="G41" i="2"/>
  <c r="G40" i="2"/>
  <c r="G34" i="2"/>
  <c r="G31" i="2"/>
  <c r="G30" i="2"/>
  <c r="G29" i="2"/>
  <c r="G28" i="2"/>
  <c r="G27" i="2"/>
  <c r="G26" i="2"/>
  <c r="G25" i="2"/>
  <c r="G24" i="2"/>
  <c r="G9" i="2"/>
  <c r="G55" i="2"/>
  <c r="G53" i="2"/>
  <c r="G52" i="2"/>
  <c r="G51" i="2"/>
  <c r="G50" i="2"/>
  <c r="G49" i="2"/>
  <c r="G48" i="2"/>
  <c r="G39" i="2"/>
  <c r="G38" i="2"/>
  <c r="G37" i="2"/>
  <c r="G36" i="2"/>
  <c r="G35" i="2"/>
  <c r="G33" i="2"/>
  <c r="G32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8" i="2"/>
  <c r="G7" i="2"/>
  <c r="G6" i="2"/>
  <c r="G5" i="2"/>
  <c r="G4" i="2"/>
  <c r="G3" i="2"/>
</calcChain>
</file>

<file path=xl/sharedStrings.xml><?xml version="1.0" encoding="utf-8"?>
<sst xmlns="http://schemas.openxmlformats.org/spreadsheetml/2006/main" count="1964" uniqueCount="1488">
  <si>
    <t>PID</t>
  </si>
  <si>
    <t>(hex)</t>
  </si>
  <si>
    <t>Data bytes returned</t>
  </si>
  <si>
    <t>Description</t>
  </si>
  <si>
    <t>Min value</t>
  </si>
  <si>
    <t>Max value</t>
  </si>
  <si>
    <t>Units</t>
  </si>
  <si>
    <t>Formula[a]</t>
  </si>
  <si>
    <t>PIDs supported [01 - 20]</t>
  </si>
  <si>
    <t>Bit encoded [A7..D0] == [PID $01..PID $20] See below</t>
  </si>
  <si>
    <t>Monitor status since DTCs cleared. (Includes malfunction indicator lamp (MIL) status and number of DTCs.)</t>
  </si>
  <si>
    <t>Bit encoded. See below</t>
  </si>
  <si>
    <t>Freeze DTC</t>
  </si>
  <si>
    <t>Fuel system status</t>
  </si>
  <si>
    <t>Calculated engine load</t>
  </si>
  <si>
    <t> %</t>
  </si>
  <si>
    <t>100 255 A {\displaystyle {\tfrac {100}{255}}A} (or A 2.55 {\displaystyle {\tfrac {A}{2.55}}} )</t>
  </si>
  <si>
    <t>Engine coolant temperature</t>
  </si>
  <si>
    <t>°C</t>
  </si>
  <si>
    <t xml:space="preserve">A − 40 {\displaystyle A-40} </t>
  </si>
  <si>
    <t>Short term fuel trim—Bank 1</t>
  </si>
  <si>
    <t>-100 (Reduce Fuel: Too Rich)</t>
  </si>
  <si>
    <t>99.2 (Add Fuel: Too Lean)</t>
  </si>
  <si>
    <t>100 128 A − 100 {\displaystyle {\frac {100}{128}}A-100}</t>
  </si>
  <si>
    <t xml:space="preserve">(or A 1.28 − 100 {\displaystyle {\tfrac {A}{1.28}}-100} </t>
  </si>
  <si>
    <t>)</t>
  </si>
  <si>
    <t>Long term fuel trim—Bank 1</t>
  </si>
  <si>
    <t>Short term fuel trim—Bank 2</t>
  </si>
  <si>
    <t>Long term fuel trim—Bank 2</t>
  </si>
  <si>
    <t>0A</t>
  </si>
  <si>
    <t>Fuel pressure (gauge pressure)</t>
  </si>
  <si>
    <t>kPa</t>
  </si>
  <si>
    <t xml:space="preserve">3 A {\displaystyle 3A} </t>
  </si>
  <si>
    <t>0B</t>
  </si>
  <si>
    <t>Intake manifold absolute pressure</t>
  </si>
  <si>
    <t xml:space="preserve">A {\displaystyle A} </t>
  </si>
  <si>
    <t>0C</t>
  </si>
  <si>
    <t>Engine RPM</t>
  </si>
  <si>
    <t>rpm</t>
  </si>
  <si>
    <t xml:space="preserve">256 A + B 4 {\displaystyle {\frac {256A+B}{4}}} </t>
  </si>
  <si>
    <t>0D</t>
  </si>
  <si>
    <t>Vehicle speed</t>
  </si>
  <si>
    <t>km/h</t>
  </si>
  <si>
    <t>0E</t>
  </si>
  <si>
    <t>Timing advance</t>
  </si>
  <si>
    <t>° before TDC</t>
  </si>
  <si>
    <t xml:space="preserve">A 2 − 64 {\displaystyle {\frac {A}{2}}-64} </t>
  </si>
  <si>
    <t>0F</t>
  </si>
  <si>
    <t>Intake air temperature</t>
  </si>
  <si>
    <t>MAF air flow rate</t>
  </si>
  <si>
    <t>grams/sec</t>
  </si>
  <si>
    <t xml:space="preserve">256 A + B 100 {\displaystyle {\frac {256A+B}{100}}} </t>
  </si>
  <si>
    <t>Throttle position</t>
  </si>
  <si>
    <t xml:space="preserve">100 255 A {\displaystyle {\tfrac {100}{255}}A} </t>
  </si>
  <si>
    <t>Commanded secondary air status</t>
  </si>
  <si>
    <t>Oxygen sensors present (in 2 banks)</t>
  </si>
  <si>
    <t>[A0..A3] == Bank 1, Sensors 1-4. [A4..A7] == Bank 2...</t>
  </si>
  <si>
    <t>volts</t>
  </si>
  <si>
    <t>A 200 {\displaystyle {\frac {A}{200}}}</t>
  </si>
  <si>
    <t>100 128 B − 100 {\displaystyle {\frac {100}{128}}B-100}</t>
  </si>
  <si>
    <t>(if B==$FF, sensor is not used in trim calculation)</t>
  </si>
  <si>
    <t>1A</t>
  </si>
  <si>
    <t>1B</t>
  </si>
  <si>
    <t>1C</t>
  </si>
  <si>
    <t>OBD standards this vehicle conforms to</t>
  </si>
  <si>
    <t>1D</t>
  </si>
  <si>
    <t>Oxygen sensors present (in 4 banks)</t>
  </si>
  <si>
    <t>Similar to PID 13, but [A0..A7] == [B1S1, B1S2, B2S1, B2S2, B3S1, B3S2, B4S1, B4S2]</t>
  </si>
  <si>
    <t>1E</t>
  </si>
  <si>
    <t>Auxiliary input status</t>
  </si>
  <si>
    <t>1F</t>
  </si>
  <si>
    <t>Run time since engine start</t>
  </si>
  <si>
    <t>seconds</t>
  </si>
  <si>
    <t xml:space="preserve">256 A + B {\displaystyle 256A+B} </t>
  </si>
  <si>
    <t>PIDs supported [21 - 40]</t>
  </si>
  <si>
    <t>Bit encoded [A7..D0] == [PID $21..PID $40] See below</t>
  </si>
  <si>
    <t>Distance traveled with malfunction indicator lamp (MIL) on</t>
  </si>
  <si>
    <t>km</t>
  </si>
  <si>
    <t>Fuel Rail Pressure (relative to manifold vacuum)</t>
  </si>
  <si>
    <t xml:space="preserve">0.079 ( 256 A + B ) {\displaystyle 0.079(256A+B)} </t>
  </si>
  <si>
    <t>Fuel Rail Gauge Pressure (diesel, or gasoline direct injection)</t>
  </si>
  <si>
    <t xml:space="preserve">10 ( 256 A + B ) {\displaystyle 10(256A+B)} </t>
  </si>
  <si>
    <t>&lt; 2</t>
  </si>
  <si>
    <t>ratio</t>
  </si>
  <si>
    <t>V</t>
  </si>
  <si>
    <t>2 65536 ( 256 A + B ) {\displaystyle {\frac {2}{65536}}(256A+B)}</t>
  </si>
  <si>
    <t>8 65536 ( 256 C + D ) {\displaystyle {\frac {8}{65536}}(256C+D)}</t>
  </si>
  <si>
    <t>2A</t>
  </si>
  <si>
    <t>2B</t>
  </si>
  <si>
    <t>2C</t>
  </si>
  <si>
    <t>Commanded EGR</t>
  </si>
  <si>
    <t>2D</t>
  </si>
  <si>
    <t>EGR Error</t>
  </si>
  <si>
    <t xml:space="preserve">100 128 A − 100 {\displaystyle {\tfrac {100}{128}}A-100} </t>
  </si>
  <si>
    <t>2E</t>
  </si>
  <si>
    <t>Commanded evaporative purge</t>
  </si>
  <si>
    <t>2F</t>
  </si>
  <si>
    <t>Fuel Tank Level Input</t>
  </si>
  <si>
    <t>Warm-ups since codes cleared</t>
  </si>
  <si>
    <t>count</t>
  </si>
  <si>
    <t>Distance traveled since codes cleared</t>
  </si>
  <si>
    <t>Evap. System Vapor Pressure</t>
  </si>
  <si>
    <t>Pa</t>
  </si>
  <si>
    <t>Absolute Barometric Pressure</t>
  </si>
  <si>
    <t>3A</t>
  </si>
  <si>
    <t>3B</t>
  </si>
  <si>
    <t>3C</t>
  </si>
  <si>
    <t>Catalyst Temperature: Bank 1, Sensor 1</t>
  </si>
  <si>
    <t xml:space="preserve">256 A + B 10 − 40 {\displaystyle {\frac {256A+B}{10}}-40} </t>
  </si>
  <si>
    <t>3D</t>
  </si>
  <si>
    <t>Catalyst Temperature: Bank 2, Sensor 1</t>
  </si>
  <si>
    <t>3E</t>
  </si>
  <si>
    <t>Catalyst Temperature: Bank 1, Sensor 2</t>
  </si>
  <si>
    <t>3F</t>
  </si>
  <si>
    <t>Catalyst Temperature: Bank 2, Sensor 2</t>
  </si>
  <si>
    <t>PIDs supported [41 - 60]</t>
  </si>
  <si>
    <t>Bit encoded [A7..D0] == [PID $41..PID $60] See below</t>
  </si>
  <si>
    <t>Monitor status this drive cycle</t>
  </si>
  <si>
    <t>Control module voltage</t>
  </si>
  <si>
    <t xml:space="preserve">256 A + B 1000 {\displaystyle {\frac {256A+B}{1000}}} </t>
  </si>
  <si>
    <t>Absolute load value</t>
  </si>
  <si>
    <t xml:space="preserve">100 255 ( 256 A + B ) {\displaystyle {\tfrac {100}{255}}(256A+B)} </t>
  </si>
  <si>
    <t>Fuel–Air commanded equivalence ratio</t>
  </si>
  <si>
    <t xml:space="preserve">2 65536 ( 256 A + B ) {\displaystyle {\tfrac {2}{65536}}(256A+B)} </t>
  </si>
  <si>
    <t>Relative throttle position</t>
  </si>
  <si>
    <t>Ambient air temperature</t>
  </si>
  <si>
    <t>Absolute throttle position B</t>
  </si>
  <si>
    <t xml:space="preserve">100 255 A {\displaystyle {\frac {100}{255}}A} </t>
  </si>
  <si>
    <t>Absolute throttle position C</t>
  </si>
  <si>
    <t>Accelerator pedal position D</t>
  </si>
  <si>
    <t>4A</t>
  </si>
  <si>
    <t>Accelerator pedal position E</t>
  </si>
  <si>
    <t>4B</t>
  </si>
  <si>
    <t>Accelerator pedal position F</t>
  </si>
  <si>
    <t>4C</t>
  </si>
  <si>
    <t>Commanded throttle actuator</t>
  </si>
  <si>
    <t>4D</t>
  </si>
  <si>
    <t>Time run with MIL on</t>
  </si>
  <si>
    <t>minutes</t>
  </si>
  <si>
    <t>4E</t>
  </si>
  <si>
    <t>Time since trouble codes cleared</t>
  </si>
  <si>
    <t>4F</t>
  </si>
  <si>
    <t>Maximum value for Fuel–Air equivalence ratio, oxygen sensor voltage, oxygen sensor current, and intake manifold absolute pressure</t>
  </si>
  <si>
    <t>0, 0, 0, 0</t>
  </si>
  <si>
    <t>255, 255, 255, 2550</t>
  </si>
  <si>
    <t>ratio, V, mA, kPa</t>
  </si>
  <si>
    <t>A, B, C, D*10</t>
  </si>
  <si>
    <t>Maximum value for air flow rate from mass air flow sensor</t>
  </si>
  <si>
    <t>g/s</t>
  </si>
  <si>
    <t>A*10, B, C, and D are reserved for future use</t>
  </si>
  <si>
    <t>Fuel Type</t>
  </si>
  <si>
    <t>From fuel type table see below</t>
  </si>
  <si>
    <t>Ethanol fuel %</t>
  </si>
  <si>
    <t>Absolute Evap system Vapor Pressure</t>
  </si>
  <si>
    <t xml:space="preserve">256 A + B 200 {\displaystyle {\frac {256A+B}{200}}} </t>
  </si>
  <si>
    <t>Evap system vapor pressure</t>
  </si>
  <si>
    <t>((A*256)+B)-32767</t>
  </si>
  <si>
    <t>Short term secondary oxygen sensor trim, A: bank 1, B: bank 3</t>
  </si>
  <si>
    <t xml:space="preserve">100 128 A − 100 {\displaystyle {\frac {100}{128}}A-100} </t>
  </si>
  <si>
    <t xml:space="preserve">100 128 B − 100 {\displaystyle {\frac {100}{128}}B-100} </t>
  </si>
  <si>
    <t>Long term secondary oxygen sensor trim, A: bank 1, B: bank 3</t>
  </si>
  <si>
    <t>Short term secondary oxygen sensor trim, A: bank 2, B: bank 4</t>
  </si>
  <si>
    <t>Long term secondary oxygen sensor trim, A: bank 2, B: bank 4</t>
  </si>
  <si>
    <t>Fuel rail absolute pressure</t>
  </si>
  <si>
    <t>5A</t>
  </si>
  <si>
    <t>Relative accelerator pedal position</t>
  </si>
  <si>
    <t>5B</t>
  </si>
  <si>
    <t>Hybrid battery pack remaining life</t>
  </si>
  <si>
    <t>5C</t>
  </si>
  <si>
    <t>Engine oil temperature</t>
  </si>
  <si>
    <t>5D</t>
  </si>
  <si>
    <t>Fuel injection timing</t>
  </si>
  <si>
    <t>°</t>
  </si>
  <si>
    <t xml:space="preserve">256 A + B 128 − 210 {\displaystyle {\frac {256A+B}{128}}-210} </t>
  </si>
  <si>
    <t>5E</t>
  </si>
  <si>
    <t>Engine fuel rate</t>
  </si>
  <si>
    <t>L/h</t>
  </si>
  <si>
    <t xml:space="preserve">256 A + B 20 {\displaystyle {\frac {256A+B}{20}}} </t>
  </si>
  <si>
    <t>5F</t>
  </si>
  <si>
    <t>Emission requirements to which vehicle is designed</t>
  </si>
  <si>
    <t>Bit Encoded</t>
  </si>
  <si>
    <t>PIDs supported [61 - 80]</t>
  </si>
  <si>
    <t>Bit encoded [A7..D0] == [PID $61..PID $80] See below</t>
  </si>
  <si>
    <t>Driver's demand engine - percent torque</t>
  </si>
  <si>
    <t>A-125</t>
  </si>
  <si>
    <t>Actual engine - percent torque</t>
  </si>
  <si>
    <t>Engine reference torque</t>
  </si>
  <si>
    <t>Nm</t>
  </si>
  <si>
    <t>Engine percent torque data</t>
  </si>
  <si>
    <t>Auxiliary input / output supported</t>
  </si>
  <si>
    <t>Mass air flow sensor</t>
  </si>
  <si>
    <t>Intake air temperature sensor</t>
  </si>
  <si>
    <t>Commanded EGR and EGR Error</t>
  </si>
  <si>
    <t>6A</t>
  </si>
  <si>
    <t>Commanded Diesel intake air flow control and relative intake air flow position</t>
  </si>
  <si>
    <t>6B</t>
  </si>
  <si>
    <t>Exhaust gas recirculation temperature</t>
  </si>
  <si>
    <t>6C</t>
  </si>
  <si>
    <t>Commanded throttle actuator control and relative throttle position</t>
  </si>
  <si>
    <t>6D</t>
  </si>
  <si>
    <t>Fuel pressure control system</t>
  </si>
  <si>
    <t>6E</t>
  </si>
  <si>
    <t>Injection pressure control system</t>
  </si>
  <si>
    <t>6F</t>
  </si>
  <si>
    <t>Turbocharger compressor inlet pressure</t>
  </si>
  <si>
    <t>Boost pressure control</t>
  </si>
  <si>
    <t>Variable Geometry turbo (VGT) control</t>
  </si>
  <si>
    <t>Wastegate control</t>
  </si>
  <si>
    <t>Exhaust pressure</t>
  </si>
  <si>
    <t>Turbocharger RPM</t>
  </si>
  <si>
    <t>Turbocharger temperature</t>
  </si>
  <si>
    <t>Charge air cooler temperature (CACT)</t>
  </si>
  <si>
    <t>Exhaust Gas temperature (EGT) Bank 1</t>
  </si>
  <si>
    <t>Special PID. See below</t>
  </si>
  <si>
    <t>Exhaust Gas temperature (EGT) Bank 2</t>
  </si>
  <si>
    <t>7A</t>
  </si>
  <si>
    <t>Diesel particulate filter (DPF)</t>
  </si>
  <si>
    <t>7B</t>
  </si>
  <si>
    <t>7C</t>
  </si>
  <si>
    <t>Diesel Particulate filter (DPF) temperature</t>
  </si>
  <si>
    <t>7D</t>
  </si>
  <si>
    <t>NOx NTE control area status</t>
  </si>
  <si>
    <t>7E</t>
  </si>
  <si>
    <t>PM NTE control area status</t>
  </si>
  <si>
    <t>7F</t>
  </si>
  <si>
    <t>Engine run time</t>
  </si>
  <si>
    <t>PIDs supported [81 - A0]</t>
  </si>
  <si>
    <t>Bit encoded [A7..D0] == [PID $81..PID $A0] See below</t>
  </si>
  <si>
    <t>Engine run time for Auxiliary Emissions Control Device(AECD)</t>
  </si>
  <si>
    <t>NOx sensor</t>
  </si>
  <si>
    <t>Manifold surface temperature</t>
  </si>
  <si>
    <t>NOx reagent system</t>
  </si>
  <si>
    <t>Particulate matter (PM) sensor</t>
  </si>
  <si>
    <t>A0</t>
  </si>
  <si>
    <t>PIDs supported [A1 - C0]</t>
  </si>
  <si>
    <t>Bit encoded [A7..D0] == [PID $A1..PID $C0] See below</t>
  </si>
  <si>
    <t>C0</t>
  </si>
  <si>
    <t>PIDs supported [C1 - E0]</t>
  </si>
  <si>
    <t>Bit encoded [A7..D0] == [PID $C1..PID $E0] See below</t>
  </si>
  <si>
    <t>C3</t>
  </si>
  <si>
    <t> ?</t>
  </si>
  <si>
    <t>Returns numerous data, including Drive Condition ID and Engine Speed*</t>
  </si>
  <si>
    <t>C4</t>
  </si>
  <si>
    <t>(dec)</t>
  </si>
  <si>
    <t>A</t>
  </si>
  <si>
    <t>B</t>
  </si>
  <si>
    <t>C</t>
  </si>
  <si>
    <t>D</t>
  </si>
  <si>
    <t>Bits</t>
  </si>
  <si>
    <t>Supported</t>
  </si>
  <si>
    <t>1/0</t>
  </si>
  <si>
    <t>Response</t>
  </si>
  <si>
    <t>BE</t>
  </si>
  <si>
    <t>WORD</t>
  </si>
  <si>
    <t>OBD</t>
  </si>
  <si>
    <t>Oxygen Sensor 1 (A: Voltage, B: Short term fuel trim)</t>
  </si>
  <si>
    <t>A=0, B=-100</t>
  </si>
  <si>
    <t>A=1.275, B=99.2</t>
  </si>
  <si>
    <t>Oxygen Sensor 2 (A: Voltage, B: Short term fuel trim)</t>
  </si>
  <si>
    <t>Oxygen Sensor 3 (A: Voltage, B: Short term fuel trim)</t>
  </si>
  <si>
    <t>Oxygen Sensor 4 (A: Voltage, B: Short term fuel trim)</t>
  </si>
  <si>
    <t>Oxygen Sensor 5 (A: Voltage, B: Short term fuel trim)</t>
  </si>
  <si>
    <t>Oxygen Sensor 6 (A: Voltage, B: Short term fuel trim)</t>
  </si>
  <si>
    <t>Oxygen Sensor 7 (A: Voltage, B: Short term fuel trim)</t>
  </si>
  <si>
    <t>Oxygen Sensor 8 (A: Voltage, B: Short term fuel trim)</t>
  </si>
  <si>
    <t>Oxygen Sensor 1 (AB: Fuel–Air Equivalence Ratio, CD: Voltage)</t>
  </si>
  <si>
    <t>AB=0, CD=0</t>
  </si>
  <si>
    <t>AB=&lt;2, CD=&lt;8</t>
  </si>
  <si>
    <t>ratio,V</t>
  </si>
  <si>
    <t>Oxygen Sensor 8 (AB: Fuel–Air Equivalence Ratio, CD: Voltage)</t>
  </si>
  <si>
    <t>Oxygen Sensor 7 (AB: Fuel–Air Equivalence Ratio, CD: Voltage)</t>
  </si>
  <si>
    <t>Oxygen Sensor 6 (AB: Fuel–Air Equivalence Ratio, CD: Voltage)</t>
  </si>
  <si>
    <t>Oxygen Sensor 5 (AB: Fuel–Air Equivalence Ratio, CD: Voltage)</t>
  </si>
  <si>
    <t>Oxygen Sensor 4 (AB: Fuel–Air Equivalence Ratio, CD: Voltage)</t>
  </si>
  <si>
    <t>Oxygen Sensor 3 (AB: Fuel–Air Equivalence Ratio, CD: Voltage)</t>
  </si>
  <si>
    <t>Oxygen Sensor 2 (AB: Fuel–Air Equivalence Ratio, CD: Voltage)</t>
  </si>
  <si>
    <t>256 A + B 4 {\displaystyle {\frac {256A+B}{4}}}, (AB is two's complement signed)[3]</t>
  </si>
  <si>
    <t>Oxygen Sensor 1 (AB: Fuel–Air Equivalence Ratio, CD: Current)</t>
  </si>
  <si>
    <t>AB=0, CD=-128</t>
  </si>
  <si>
    <t>AB=&lt;2, CD=&lt;128</t>
  </si>
  <si>
    <t>ratio, mA</t>
  </si>
  <si>
    <t>Oxygen Sensor 8 (AB: Fuel–Air Equivalence Ratio, CD: Current)</t>
  </si>
  <si>
    <t>Oxygen Sensor 7 (AB: Fuel–Air Equivalence Ratio, CD: Current)</t>
  </si>
  <si>
    <t>Oxygen Sensor 6 (AB: Fuel–Air Equivalence Ratio, CD: Current)</t>
  </si>
  <si>
    <t>Oxygen Sensor 5 (AB: Fuel–Air Equivalence Ratio, CD: Current)</t>
  </si>
  <si>
    <t>Oxygen Sensor 4 (AB: Fuel–Air Equivalence Ratio, CD: Current)</t>
  </si>
  <si>
    <t>Oxygen Sensor 3 (AB: Fuel–Air Equivalence Ratio, CD: Current)</t>
  </si>
  <si>
    <t>Oxygen Sensor 2 (AB: Fuel–Air Equivalence Ratio, CD: Current)</t>
  </si>
  <si>
    <t xml:space="preserve">256 C + D 256 − 128 {\displaystyle {\frac {256C+D}{256}}-128} or C + D 256 − 128 {\displaystyle C+{\frac {D}{256}}-128} </t>
  </si>
  <si>
    <t>A-125 Idle, B-125 Engine point 1, C-125 Engine point 2, D-125 Engine point 3, E-125 Engine point 4</t>
  </si>
  <si>
    <t>A0 == Power Take Off (PTO) status (1 == active), [A1..A7] not used</t>
  </si>
  <si>
    <t>B5 is Engine Idle Request, B6 is Engine Stop Request*</t>
  </si>
  <si>
    <t>C1</t>
  </si>
  <si>
    <t>C2</t>
  </si>
  <si>
    <t>8A</t>
  </si>
  <si>
    <t>8B</t>
  </si>
  <si>
    <t>8C</t>
  </si>
  <si>
    <t>8D</t>
  </si>
  <si>
    <t>8E</t>
  </si>
  <si>
    <t>8F</t>
  </si>
  <si>
    <t>9A</t>
  </si>
  <si>
    <t>9B</t>
  </si>
  <si>
    <t>9C</t>
  </si>
  <si>
    <t>9D</t>
  </si>
  <si>
    <t>9E</t>
  </si>
  <si>
    <t>9F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</si>
  <si>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</si>
  <si>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</si>
  <si>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</si>
  <si>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</si>
  <si>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</si>
  <si>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</si>
  <si>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</si>
  <si>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</si>
  <si>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</si>
  <si>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</si>
  <si>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</si>
  <si>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</si>
  <si>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</si>
  <si>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</si>
  <si>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</si>
  <si>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</si>
  <si>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</si>
  <si>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</si>
  <si>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</si>
  <si>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</si>
  <si>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</si>
  <si>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</si>
  <si>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</si>
  <si>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</si>
  <si>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</si>
  <si>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</si>
  <si>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</si>
  <si>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</si>
  <si>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</si>
  <si>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BF</t>
  </si>
  <si>
    <t>HEX</t>
  </si>
  <si>
    <t>Water Temp</t>
  </si>
  <si>
    <t>Air Temp</t>
  </si>
  <si>
    <t>Baro Press</t>
  </si>
  <si>
    <t>Crank Wiring</t>
  </si>
  <si>
    <t>Lambda 1</t>
  </si>
  <si>
    <t>Lambda 2</t>
  </si>
  <si>
    <t>Battery</t>
  </si>
  <si>
    <t>Water</t>
  </si>
  <si>
    <t>TP2</t>
  </si>
  <si>
    <t>Baro</t>
  </si>
  <si>
    <t>Batt</t>
  </si>
  <si>
    <t>Fuel Pump Off</t>
  </si>
  <si>
    <t>RadFan2 on</t>
  </si>
  <si>
    <t>Logged Faults</t>
  </si>
  <si>
    <t>Baro Pressure</t>
  </si>
  <si>
    <t>TP1</t>
  </si>
  <si>
    <t>RPM High</t>
  </si>
  <si>
    <t>RPM Low</t>
  </si>
  <si>
    <t>DEC</t>
  </si>
  <si>
    <t>Current Faults</t>
  </si>
  <si>
    <t>Crank Sensor</t>
  </si>
  <si>
    <t>AFR123</t>
  </si>
  <si>
    <t>AFR456</t>
  </si>
  <si>
    <t>Fuel Pump On</t>
  </si>
  <si>
    <t>Water Temp Control Disabled</t>
  </si>
  <si>
    <t>Overrun Fuel Cut Active</t>
  </si>
  <si>
    <t>Lambda 1357 no control</t>
  </si>
  <si>
    <t>Lambda 2468 no control</t>
  </si>
  <si>
    <t>dThrottle Active</t>
  </si>
  <si>
    <t>dSpeed Active</t>
  </si>
  <si>
    <t>Warm up timer active</t>
  </si>
  <si>
    <t>Baro Pressure Sensor</t>
  </si>
  <si>
    <t>Battery Voltage</t>
  </si>
  <si>
    <t>Water Temp Sensor</t>
  </si>
  <si>
    <t>Lambda Sensor 1</t>
  </si>
  <si>
    <t>Lambda Sensor 2</t>
  </si>
  <si>
    <t>Crank Wiring Swapped</t>
  </si>
  <si>
    <t>FF</t>
  </si>
  <si>
    <t>D3</t>
  </si>
  <si>
    <t>FE</t>
  </si>
  <si>
    <t>CA</t>
  </si>
  <si>
    <t>Min</t>
  </si>
  <si>
    <t>Max</t>
  </si>
  <si>
    <t>RPM</t>
  </si>
  <si>
    <t>Speed</t>
  </si>
  <si>
    <t>Ignition</t>
  </si>
  <si>
    <t>Flags (58)</t>
  </si>
  <si>
    <t>Hex Range</t>
  </si>
  <si>
    <t>Flag</t>
  </si>
  <si>
    <t>Fan 2 On</t>
  </si>
  <si>
    <t>Fan 1 On</t>
  </si>
  <si>
    <t>RadFan1 on</t>
  </si>
  <si>
    <t>Faults (D3)</t>
  </si>
  <si>
    <t>Fault</t>
  </si>
  <si>
    <t>Water temp</t>
  </si>
  <si>
    <t>Throttle 2</t>
  </si>
  <si>
    <t>Throttle 1</t>
  </si>
  <si>
    <t>Faults (FE)</t>
  </si>
  <si>
    <t>AFRa</t>
  </si>
  <si>
    <t>AFRb</t>
  </si>
  <si>
    <t>Logged Faults (FF)</t>
  </si>
  <si>
    <t>Flags (CA)</t>
  </si>
  <si>
    <t>Warm Up Timer Active</t>
  </si>
  <si>
    <t>Duration (ms)</t>
  </si>
  <si>
    <t>OBD Engine Coolant Temp</t>
  </si>
  <si>
    <t>Values</t>
  </si>
  <si>
    <t>OBD Response</t>
  </si>
  <si>
    <t>Response (HEX)</t>
  </si>
  <si>
    <t>AirTemp</t>
  </si>
  <si>
    <t>Throttle2</t>
  </si>
  <si>
    <t>Throttle1</t>
  </si>
  <si>
    <t>Lambda1</t>
  </si>
  <si>
    <t>Lambda2</t>
  </si>
  <si>
    <t>Legend</t>
  </si>
  <si>
    <t>Command</t>
  </si>
  <si>
    <t>Title</t>
  </si>
  <si>
    <t>0x0050</t>
  </si>
  <si>
    <t>0x004A</t>
  </si>
  <si>
    <t>0x00A7</t>
  </si>
  <si>
    <t>Inj 1357</t>
  </si>
  <si>
    <t>mS</t>
  </si>
  <si>
    <t>Inj 2468</t>
  </si>
  <si>
    <t>Ink 2468</t>
  </si>
  <si>
    <t>Deg</t>
  </si>
  <si>
    <t>%</t>
  </si>
  <si>
    <t>Adaptive1</t>
  </si>
  <si>
    <t>Adaptive2</t>
  </si>
  <si>
    <t>Fuel Pump</t>
  </si>
  <si>
    <t>BIT</t>
  </si>
  <si>
    <t>0x0158</t>
  </si>
  <si>
    <t>OFF</t>
  </si>
  <si>
    <t>0x0858</t>
  </si>
  <si>
    <t>0x0258</t>
  </si>
  <si>
    <t>0x02D3</t>
  </si>
  <si>
    <t>0x03D3</t>
  </si>
  <si>
    <t>0x04D3</t>
  </si>
  <si>
    <t>0x06D3</t>
  </si>
  <si>
    <t>0x08D3</t>
  </si>
  <si>
    <t>0x01D3</t>
  </si>
  <si>
    <t>0x05D3</t>
  </si>
  <si>
    <t>0x07D3</t>
  </si>
  <si>
    <t>OK</t>
  </si>
  <si>
    <t>Ok</t>
  </si>
  <si>
    <t>Rad Fan 1</t>
  </si>
  <si>
    <t>Ran Fan 2</t>
  </si>
  <si>
    <t>0x05FE</t>
  </si>
  <si>
    <t>Swapped</t>
  </si>
  <si>
    <t>AFR 1357</t>
  </si>
  <si>
    <t>0x03FE</t>
  </si>
  <si>
    <t>0x04FE</t>
  </si>
  <si>
    <t>AFR 2468</t>
  </si>
  <si>
    <t>0x02FE</t>
  </si>
  <si>
    <t>BAD</t>
  </si>
  <si>
    <t>Log Battery Voltage</t>
  </si>
  <si>
    <t>0x02FF</t>
  </si>
  <si>
    <t>Log Water Temp</t>
  </si>
  <si>
    <t>0x03FF</t>
  </si>
  <si>
    <t>0x04FF</t>
  </si>
  <si>
    <t>0x06FF</t>
  </si>
  <si>
    <t>0x08FF</t>
  </si>
  <si>
    <t>Log Throttle 2</t>
  </si>
  <si>
    <t>Log Throttle 1</t>
  </si>
  <si>
    <t>Log Air Temp</t>
  </si>
  <si>
    <t>Log Baro Pressure</t>
  </si>
  <si>
    <t>0x01FF</t>
  </si>
  <si>
    <t>0x05FF</t>
  </si>
  <si>
    <t>0x07FF</t>
  </si>
  <si>
    <t>Log Lambda 1</t>
  </si>
  <si>
    <t>Log Lambda 2</t>
  </si>
  <si>
    <t>No Control</t>
  </si>
  <si>
    <t>0x01CA</t>
  </si>
  <si>
    <t>0x02CA</t>
  </si>
  <si>
    <t>0x03CA</t>
  </si>
  <si>
    <t>0x04CA</t>
  </si>
  <si>
    <t>Lambda 1357 Control</t>
  </si>
  <si>
    <t>Lambda 2468 Control</t>
  </si>
  <si>
    <t>Fuel Cut</t>
  </si>
  <si>
    <t>dThrottle</t>
  </si>
  <si>
    <t>0x05CA</t>
  </si>
  <si>
    <t>0x06CA</t>
  </si>
  <si>
    <t>dSpeed</t>
  </si>
  <si>
    <t>Warm Up Timer</t>
  </si>
  <si>
    <t>0x07CA</t>
  </si>
  <si>
    <t>Lambda Control</t>
  </si>
  <si>
    <t>0x08CA</t>
  </si>
  <si>
    <t>Disabled</t>
  </si>
  <si>
    <t>mBar</t>
  </si>
  <si>
    <t>ON</t>
  </si>
  <si>
    <t>LogWaterTemp</t>
  </si>
  <si>
    <t>0xC37C</t>
  </si>
  <si>
    <t>0xC37E</t>
  </si>
  <si>
    <t>0xC376</t>
  </si>
  <si>
    <t>0x87</t>
  </si>
  <si>
    <t>0x9C</t>
  </si>
  <si>
    <t>0x94</t>
  </si>
  <si>
    <t>0xC0</t>
  </si>
  <si>
    <t>0xBF</t>
  </si>
  <si>
    <t>0xEF</t>
  </si>
  <si>
    <t>0xF1</t>
  </si>
  <si>
    <t>0x0049</t>
  </si>
  <si>
    <t>2,</t>
  </si>
  <si>
    <t>16.0,	0.0,</t>
  </si>
  <si>
    <t>Site,16,C37C,1000,7500,0,rpm,30</t>
  </si>
  <si>
    <t>psi,32,c37c,1000,8000,</t>
  </si>
  <si>
    <t>0,rpm,32</t>
  </si>
  <si>
    <t>0,Site,32,c37c,1000,8000,</t>
  </si>
  <si>
    <t>Time</t>
  </si>
  <si>
    <t>Secs</t>
  </si>
  <si>
    <t>0xFF02</t>
  </si>
  <si>
    <t>0xFF03</t>
  </si>
  <si>
    <t>OverSpeed</t>
  </si>
  <si>
    <t>Overspeed</t>
  </si>
  <si>
    <t>0xFF04</t>
  </si>
  <si>
    <t>V,32</t>
  </si>
  <si>
    <t>Oil Pressure</t>
  </si>
  <si>
    <t>PSI</t>
  </si>
  <si>
    <t>0x009A</t>
  </si>
  <si>
    <t>OBD Air Temp</t>
  </si>
  <si>
    <r>
      <t xml:space="preserve">P0036       </t>
    </r>
    <r>
      <rPr>
        <sz val="12"/>
        <color theme="1"/>
        <rFont val="Calibri"/>
        <family val="2"/>
        <scheme val="minor"/>
      </rPr>
      <t>HO2S Heater Control C ircuit (Bank 1 Sensor 2)</t>
    </r>
  </si>
  <si>
    <r>
      <t xml:space="preserve">P0037       </t>
    </r>
    <r>
      <rPr>
        <sz val="12"/>
        <color theme="1"/>
        <rFont val="Calibri"/>
        <family val="2"/>
        <scheme val="minor"/>
      </rPr>
      <t>HO2S Heater Control Circuit Low (Bank 1 Sensor 2)</t>
    </r>
  </si>
  <si>
    <r>
      <t xml:space="preserve">P0038       </t>
    </r>
    <r>
      <rPr>
        <sz val="12"/>
        <color theme="1"/>
        <rFont val="Calibri"/>
        <family val="2"/>
        <scheme val="minor"/>
      </rPr>
      <t>HO2S Heater Control Circuit High (Bank 1 Sensor 2)</t>
    </r>
  </si>
  <si>
    <r>
      <t xml:space="preserve">P0040       </t>
    </r>
    <r>
      <rPr>
        <sz val="12"/>
        <color theme="1"/>
        <rFont val="Calibri"/>
        <family val="2"/>
        <scheme val="minor"/>
      </rPr>
      <t>O2 Sensor Signals Swapped Bank 1 Sensor 1/ Bank 2 Sensor 1</t>
    </r>
  </si>
  <si>
    <r>
      <t xml:space="preserve">P0041       </t>
    </r>
    <r>
      <rPr>
        <sz val="12"/>
        <color theme="1"/>
        <rFont val="Calibri"/>
        <family val="2"/>
        <scheme val="minor"/>
      </rPr>
      <t>O2 Sensor Signals Swapped Bank 1 Sensor 2/ Bank 2 Sensor 2</t>
    </r>
  </si>
  <si>
    <r>
      <t xml:space="preserve">P0042       </t>
    </r>
    <r>
      <rPr>
        <sz val="12"/>
        <color theme="1"/>
        <rFont val="Calibri"/>
        <family val="2"/>
        <scheme val="minor"/>
      </rPr>
      <t>HO2S Heater Control Circuit (Bank 1 Sensor 3)</t>
    </r>
  </si>
  <si>
    <r>
      <t xml:space="preserve">P0043       </t>
    </r>
    <r>
      <rPr>
        <sz val="12"/>
        <color theme="1"/>
        <rFont val="Calibri"/>
        <family val="2"/>
        <scheme val="minor"/>
      </rPr>
      <t>HO2S Heater Control Circuit Low (Bank 1 Sensor 3)</t>
    </r>
  </si>
  <si>
    <r>
      <t xml:space="preserve">P0044       </t>
    </r>
    <r>
      <rPr>
        <sz val="12"/>
        <color theme="1"/>
        <rFont val="Calibri"/>
        <family val="2"/>
        <scheme val="minor"/>
      </rPr>
      <t>HO2S Heater Control Circuit High (Bank 1 Sensor 3)</t>
    </r>
  </si>
  <si>
    <r>
      <t xml:space="preserve">P0050       </t>
    </r>
    <r>
      <rPr>
        <sz val="12"/>
        <color theme="1"/>
        <rFont val="Calibri"/>
        <family val="2"/>
        <scheme val="minor"/>
      </rPr>
      <t>HO2S Heater Control Circuit (Bank 2 Sensor 1)</t>
    </r>
  </si>
  <si>
    <r>
      <t xml:space="preserve">P0051       </t>
    </r>
    <r>
      <rPr>
        <sz val="12"/>
        <color theme="1"/>
        <rFont val="Calibri"/>
        <family val="2"/>
        <scheme val="minor"/>
      </rPr>
      <t>HO2S Heater Control Circuit Low (Bank 2 Sensor 1)</t>
    </r>
  </si>
  <si>
    <r>
      <t xml:space="preserve">P0052       </t>
    </r>
    <r>
      <rPr>
        <sz val="12"/>
        <color theme="1"/>
        <rFont val="Calibri"/>
        <family val="2"/>
        <scheme val="minor"/>
      </rPr>
      <t>HO2S Heater Control Circuit High (Bank 2 Sensor 1)</t>
    </r>
  </si>
  <si>
    <r>
      <t xml:space="preserve">P0053       </t>
    </r>
    <r>
      <rPr>
        <sz val="12"/>
        <color theme="1"/>
        <rFont val="Calibri"/>
        <family val="2"/>
        <scheme val="minor"/>
      </rPr>
      <t>HO2S Heater Resistance (Bank 1 Sensor 1)</t>
    </r>
  </si>
  <si>
    <r>
      <t xml:space="preserve">P0054       </t>
    </r>
    <r>
      <rPr>
        <sz val="12"/>
        <color theme="1"/>
        <rFont val="Calibri"/>
        <family val="2"/>
        <scheme val="minor"/>
      </rPr>
      <t>HO2S Heater Resistance (Bank 1 Sensor 2)</t>
    </r>
  </si>
  <si>
    <r>
      <t xml:space="preserve">P0055       </t>
    </r>
    <r>
      <rPr>
        <sz val="12"/>
        <color theme="1"/>
        <rFont val="Calibri"/>
        <family val="2"/>
        <scheme val="minor"/>
      </rPr>
      <t>HO2S Heater Resistance (Bank 1 Sensor 3)</t>
    </r>
  </si>
  <si>
    <r>
      <t xml:space="preserve">P0056       </t>
    </r>
    <r>
      <rPr>
        <sz val="12"/>
        <color theme="1"/>
        <rFont val="Calibri"/>
        <family val="2"/>
        <scheme val="minor"/>
      </rPr>
      <t>HO2S Heater Control Circuit (Bank 2 Sensor 2)</t>
    </r>
  </si>
  <si>
    <r>
      <t xml:space="preserve">P0057       </t>
    </r>
    <r>
      <rPr>
        <sz val="12"/>
        <color theme="1"/>
        <rFont val="Calibri"/>
        <family val="2"/>
        <scheme val="minor"/>
      </rPr>
      <t>HO2S Heater Control Circuit Low (Bank 2 Sensor 2)</t>
    </r>
  </si>
  <si>
    <r>
      <t xml:space="preserve">P0058       </t>
    </r>
    <r>
      <rPr>
        <sz val="12"/>
        <color theme="1"/>
        <rFont val="Calibri"/>
        <family val="2"/>
        <scheme val="minor"/>
      </rPr>
      <t>HO2S Heater Control Circuit High (Bank 2 Sensor 2)</t>
    </r>
  </si>
  <si>
    <r>
      <t xml:space="preserve">P0059       </t>
    </r>
    <r>
      <rPr>
        <sz val="12"/>
        <color theme="1"/>
        <rFont val="Calibri"/>
        <family val="2"/>
        <scheme val="minor"/>
      </rPr>
      <t>HO2S Heater Resistance (Bank 2 Sensor 1)</t>
    </r>
  </si>
  <si>
    <r>
      <t xml:space="preserve">P0060       </t>
    </r>
    <r>
      <rPr>
        <sz val="12"/>
        <color theme="1"/>
        <rFont val="Calibri"/>
        <family val="2"/>
        <scheme val="minor"/>
      </rPr>
      <t>HO2S Heater Resistance (Bank 2 Sensor 2)</t>
    </r>
  </si>
  <si>
    <r>
      <t xml:space="preserve">P0061       </t>
    </r>
    <r>
      <rPr>
        <sz val="12"/>
        <color theme="1"/>
        <rFont val="Calibri"/>
        <family val="2"/>
        <scheme val="minor"/>
      </rPr>
      <t>HO2S Heater Resistance (Bank 2 Sensor 3)</t>
    </r>
  </si>
  <si>
    <r>
      <t xml:space="preserve">P0062       </t>
    </r>
    <r>
      <rPr>
        <sz val="12"/>
        <color theme="1"/>
        <rFont val="Calibri"/>
        <family val="2"/>
        <scheme val="minor"/>
      </rPr>
      <t>HO2S Heater Control Circuit (Bank 2 Sensor 3)</t>
    </r>
  </si>
  <si>
    <r>
      <t xml:space="preserve">P0063       </t>
    </r>
    <r>
      <rPr>
        <sz val="12"/>
        <color theme="1"/>
        <rFont val="Calibri"/>
        <family val="2"/>
        <scheme val="minor"/>
      </rPr>
      <t>HO2S Heater Control Circuit Low (Bank 2 Sensor 3)</t>
    </r>
  </si>
  <si>
    <r>
      <t xml:space="preserve">P0064       </t>
    </r>
    <r>
      <rPr>
        <sz val="12"/>
        <color theme="1"/>
        <rFont val="Calibri"/>
        <family val="2"/>
        <scheme val="minor"/>
      </rPr>
      <t>HO2S Heater Control Circuit High (Bank 2 Sensor 3)</t>
    </r>
  </si>
  <si>
    <r>
      <t xml:space="preserve">P0065       </t>
    </r>
    <r>
      <rPr>
        <sz val="12"/>
        <color theme="1"/>
        <rFont val="Calibri"/>
        <family val="2"/>
        <scheme val="minor"/>
      </rPr>
      <t>Air Assisted Injector Control Range/Performance</t>
    </r>
  </si>
  <si>
    <r>
      <t xml:space="preserve">P0066       </t>
    </r>
    <r>
      <rPr>
        <sz val="12"/>
        <color theme="1"/>
        <rFont val="Calibri"/>
        <family val="2"/>
        <scheme val="minor"/>
      </rPr>
      <t>Air Assisted Injector Control Circuit or Circuit Low</t>
    </r>
  </si>
  <si>
    <r>
      <t xml:space="preserve">P0067       </t>
    </r>
    <r>
      <rPr>
        <sz val="12"/>
        <color theme="1"/>
        <rFont val="Calibri"/>
        <family val="2"/>
        <scheme val="minor"/>
      </rPr>
      <t>Air Assisted Injector Control Circuit High</t>
    </r>
  </si>
  <si>
    <r>
      <t xml:space="preserve">P0068       </t>
    </r>
    <r>
      <rPr>
        <sz val="12"/>
        <color theme="1"/>
        <rFont val="Calibri"/>
        <family val="2"/>
        <scheme val="minor"/>
      </rPr>
      <t>MAP/MAF Throttle Position Correlation</t>
    </r>
  </si>
  <si>
    <r>
      <t xml:space="preserve">P0069       </t>
    </r>
    <r>
      <rPr>
        <sz val="12"/>
        <color theme="1"/>
        <rFont val="Calibri"/>
        <family val="2"/>
        <scheme val="minor"/>
      </rPr>
      <t>Manifold Absolute Pressure Barometric Pressure Correlation</t>
    </r>
  </si>
  <si>
    <r>
      <t xml:space="preserve">P0070       </t>
    </r>
    <r>
      <rPr>
        <sz val="12"/>
        <color theme="1"/>
        <rFont val="Calibri"/>
        <family val="2"/>
        <scheme val="minor"/>
      </rPr>
      <t>Ambient Air Temperature Sensor Circuit</t>
    </r>
  </si>
  <si>
    <r>
      <t xml:space="preserve">P0071       </t>
    </r>
    <r>
      <rPr>
        <sz val="12"/>
        <color theme="1"/>
        <rFont val="Calibri"/>
        <family val="2"/>
        <scheme val="minor"/>
      </rPr>
      <t>Ambient Air Temperature Sensor Range/Performance</t>
    </r>
  </si>
  <si>
    <r>
      <t xml:space="preserve">P0072       </t>
    </r>
    <r>
      <rPr>
        <sz val="12"/>
        <color theme="1"/>
        <rFont val="Calibri"/>
        <family val="2"/>
        <scheme val="minor"/>
      </rPr>
      <t>Ambient Air Temperature Sensor Circuit Low</t>
    </r>
  </si>
  <si>
    <r>
      <t xml:space="preserve">P0073       </t>
    </r>
    <r>
      <rPr>
        <sz val="12"/>
        <color theme="1"/>
        <rFont val="Calibri"/>
        <family val="2"/>
        <scheme val="minor"/>
      </rPr>
      <t>Ambient Air Temperature Sensor Circuit High</t>
    </r>
  </si>
  <si>
    <r>
      <t xml:space="preserve">P0074       </t>
    </r>
    <r>
      <rPr>
        <sz val="12"/>
        <color theme="1"/>
        <rFont val="Calibri"/>
        <family val="2"/>
        <scheme val="minor"/>
      </rPr>
      <t>Ambient Air Temperature Sensor Circuit Intermittent</t>
    </r>
  </si>
  <si>
    <r>
      <t xml:space="preserve">P0087       </t>
    </r>
    <r>
      <rPr>
        <sz val="12"/>
        <color theme="1"/>
        <rFont val="Calibri"/>
        <family val="2"/>
        <scheme val="minor"/>
      </rPr>
      <t>Fuel Rail/System Pressure - Too Low</t>
    </r>
  </si>
  <si>
    <r>
      <t xml:space="preserve">P0088       </t>
    </r>
    <r>
      <rPr>
        <sz val="12"/>
        <color theme="1"/>
        <rFont val="Calibri"/>
        <family val="2"/>
        <scheme val="minor"/>
      </rPr>
      <t>Fuel Rail/System Pressure - Too High</t>
    </r>
  </si>
  <si>
    <r>
      <t xml:space="preserve">P0089       </t>
    </r>
    <r>
      <rPr>
        <sz val="12"/>
        <color theme="1"/>
        <rFont val="Calibri"/>
        <family val="2"/>
        <scheme val="minor"/>
      </rPr>
      <t>Fuel Pressure Regulator 1 Performance</t>
    </r>
  </si>
  <si>
    <r>
      <t xml:space="preserve">P0090       </t>
    </r>
    <r>
      <rPr>
        <sz val="12"/>
        <color theme="1"/>
        <rFont val="Calibri"/>
        <family val="2"/>
        <scheme val="minor"/>
      </rPr>
      <t>Fuel Pressure Regulator 1 Control Circuit</t>
    </r>
  </si>
  <si>
    <r>
      <t xml:space="preserve">P0091       </t>
    </r>
    <r>
      <rPr>
        <sz val="12"/>
        <color theme="1"/>
        <rFont val="Calibri"/>
        <family val="2"/>
        <scheme val="minor"/>
      </rPr>
      <t>Fuel Pressure Regulator 1 Control Circuit Low</t>
    </r>
  </si>
  <si>
    <r>
      <t xml:space="preserve">P0092       </t>
    </r>
    <r>
      <rPr>
        <sz val="12"/>
        <color theme="1"/>
        <rFont val="Calibri"/>
        <family val="2"/>
        <scheme val="minor"/>
      </rPr>
      <t>Fuel Pressure Regulator 1 Control Circuit High</t>
    </r>
  </si>
  <si>
    <r>
      <t xml:space="preserve">P0093       </t>
    </r>
    <r>
      <rPr>
        <sz val="12"/>
        <color theme="1"/>
        <rFont val="Calibri"/>
        <family val="2"/>
        <scheme val="minor"/>
      </rPr>
      <t>Fuel System Leak Detected Large Leak</t>
    </r>
  </si>
  <si>
    <r>
      <t xml:space="preserve">P0094       </t>
    </r>
    <r>
      <rPr>
        <sz val="12"/>
        <color theme="1"/>
        <rFont val="Calibri"/>
        <family val="2"/>
        <scheme val="minor"/>
      </rPr>
      <t>Fuel System Leak Detected Small Leak</t>
    </r>
  </si>
  <si>
    <r>
      <t xml:space="preserve">P0095       </t>
    </r>
    <r>
      <rPr>
        <sz val="12"/>
        <color theme="1"/>
        <rFont val="Calibri"/>
        <family val="2"/>
        <scheme val="minor"/>
      </rPr>
      <t>Intake Air Temperature Sensor 2 Circuit</t>
    </r>
  </si>
  <si>
    <r>
      <t xml:space="preserve">P0096       </t>
    </r>
    <r>
      <rPr>
        <sz val="12"/>
        <color theme="1"/>
        <rFont val="Calibri"/>
        <family val="2"/>
        <scheme val="minor"/>
      </rPr>
      <t>Intake Air Temperature Sensor 2 Circuit Range/Performance</t>
    </r>
  </si>
  <si>
    <r>
      <t xml:space="preserve">P0097       </t>
    </r>
    <r>
      <rPr>
        <sz val="12"/>
        <color theme="1"/>
        <rFont val="Calibri"/>
        <family val="2"/>
        <scheme val="minor"/>
      </rPr>
      <t>Intake Air Temperature Sensor 2 Circuit Low</t>
    </r>
  </si>
  <si>
    <r>
      <t xml:space="preserve">P0098       </t>
    </r>
    <r>
      <rPr>
        <sz val="12"/>
        <color theme="1"/>
        <rFont val="Calibri"/>
        <family val="2"/>
        <scheme val="minor"/>
      </rPr>
      <t>Intake Air Temperature Sensor 2 Circuit High</t>
    </r>
  </si>
  <si>
    <r>
      <t xml:space="preserve">P0099       </t>
    </r>
    <r>
      <rPr>
        <sz val="12"/>
        <color theme="1"/>
        <rFont val="Calibri"/>
        <family val="2"/>
        <scheme val="minor"/>
      </rPr>
      <t>Intake Air Temperature Sensor 2 Circuit Intermittent/Erratic</t>
    </r>
  </si>
  <si>
    <r>
      <t xml:space="preserve">P0100       </t>
    </r>
    <r>
      <rPr>
        <sz val="12"/>
        <color theme="1"/>
        <rFont val="Calibri"/>
        <family val="2"/>
        <scheme val="minor"/>
      </rPr>
      <t>Mass or Volume Air flow Circuit Malfunction</t>
    </r>
  </si>
  <si>
    <r>
      <t xml:space="preserve">P0101       </t>
    </r>
    <r>
      <rPr>
        <sz val="12"/>
        <color theme="1"/>
        <rFont val="Calibri"/>
        <family val="2"/>
        <scheme val="minor"/>
      </rPr>
      <t>Mass or Volume Air flow Circuit Range/Performance Problem</t>
    </r>
  </si>
  <si>
    <r>
      <t xml:space="preserve">P0102       </t>
    </r>
    <r>
      <rPr>
        <sz val="12"/>
        <color theme="1"/>
        <rFont val="Calibri"/>
        <family val="2"/>
        <scheme val="minor"/>
      </rPr>
      <t>Mass or Volume Air Flow Circuit low Input</t>
    </r>
  </si>
  <si>
    <r>
      <t xml:space="preserve">P0103       </t>
    </r>
    <r>
      <rPr>
        <sz val="12"/>
        <color theme="1"/>
        <rFont val="Calibri"/>
        <family val="2"/>
        <scheme val="minor"/>
      </rPr>
      <t>Mass or Volume Air flow Circuit High Input</t>
    </r>
  </si>
  <si>
    <r>
      <t xml:space="preserve">P0104       </t>
    </r>
    <r>
      <rPr>
        <sz val="12"/>
        <color theme="1"/>
        <rFont val="Calibri"/>
        <family val="2"/>
        <scheme val="minor"/>
      </rPr>
      <t>Mass or Volume Air flow Circuit Intermittent</t>
    </r>
  </si>
  <si>
    <r>
      <t xml:space="preserve">P0105       </t>
    </r>
    <r>
      <rPr>
        <sz val="12"/>
        <color theme="1"/>
        <rFont val="Calibri"/>
        <family val="2"/>
        <scheme val="minor"/>
      </rPr>
      <t>Manifold Absolute Pressure/Barometric Pressure Circuit Malfunction</t>
    </r>
  </si>
  <si>
    <r>
      <t xml:space="preserve">P0106       </t>
    </r>
    <r>
      <rPr>
        <sz val="12"/>
        <color theme="1"/>
        <rFont val="Calibri"/>
        <family val="2"/>
        <scheme val="minor"/>
      </rPr>
      <t>Manifold Absolute Pressure/Barometric Pressure Circuit Range/Performance Problem</t>
    </r>
  </si>
  <si>
    <r>
      <t xml:space="preserve">P0107       </t>
    </r>
    <r>
      <rPr>
        <sz val="12"/>
        <color theme="1"/>
        <rFont val="Calibri"/>
        <family val="2"/>
        <scheme val="minor"/>
      </rPr>
      <t>Manifold Absolute Pressure/Barometric Pressure Circuit Low Input</t>
    </r>
  </si>
  <si>
    <r>
      <t xml:space="preserve">P0108       </t>
    </r>
    <r>
      <rPr>
        <sz val="12"/>
        <color theme="1"/>
        <rFont val="Calibri"/>
        <family val="2"/>
        <scheme val="minor"/>
      </rPr>
      <t>Manifold Absolute Pressure/Barometric Pressure Circuit High Input</t>
    </r>
  </si>
  <si>
    <r>
      <t xml:space="preserve">P0109       </t>
    </r>
    <r>
      <rPr>
        <sz val="12"/>
        <color theme="1"/>
        <rFont val="Calibri"/>
        <family val="2"/>
        <scheme val="minor"/>
      </rPr>
      <t>Manifold Absolute Pressure/Barometric Pressure Circuit Intermittent</t>
    </r>
  </si>
  <si>
    <r>
      <t xml:space="preserve">P0110       </t>
    </r>
    <r>
      <rPr>
        <sz val="12"/>
        <color theme="1"/>
        <rFont val="Calibri"/>
        <family val="2"/>
        <scheme val="minor"/>
      </rPr>
      <t>Intake Air Temperature Circuit Malfunction</t>
    </r>
  </si>
  <si>
    <r>
      <t xml:space="preserve">P0111       </t>
    </r>
    <r>
      <rPr>
        <sz val="12"/>
        <color theme="1"/>
        <rFont val="Calibri"/>
        <family val="2"/>
        <scheme val="minor"/>
      </rPr>
      <t>Intake Air Temperature Circuit Range/Performance Problem</t>
    </r>
  </si>
  <si>
    <r>
      <t xml:space="preserve">P0112       </t>
    </r>
    <r>
      <rPr>
        <sz val="12"/>
        <color theme="1"/>
        <rFont val="Calibri"/>
        <family val="2"/>
        <scheme val="minor"/>
      </rPr>
      <t>Intake Air Temperature Circuit Low Input</t>
    </r>
  </si>
  <si>
    <r>
      <t xml:space="preserve">P0113       </t>
    </r>
    <r>
      <rPr>
        <sz val="12"/>
        <color theme="1"/>
        <rFont val="Calibri"/>
        <family val="2"/>
        <scheme val="minor"/>
      </rPr>
      <t>Intake Air Temperature Circuit High Input</t>
    </r>
  </si>
  <si>
    <r>
      <t xml:space="preserve">P0114       </t>
    </r>
    <r>
      <rPr>
        <sz val="12"/>
        <color theme="1"/>
        <rFont val="Calibri"/>
        <family val="2"/>
        <scheme val="minor"/>
      </rPr>
      <t>Intake Air Temperature Circuit Intermittent</t>
    </r>
  </si>
  <si>
    <r>
      <t xml:space="preserve">P0115       </t>
    </r>
    <r>
      <rPr>
        <sz val="12"/>
        <color theme="1"/>
        <rFont val="Calibri"/>
        <family val="2"/>
        <scheme val="minor"/>
      </rPr>
      <t>Engine Coolant Temperature Circuit Malfunction</t>
    </r>
  </si>
  <si>
    <r>
      <t xml:space="preserve">P0116       </t>
    </r>
    <r>
      <rPr>
        <sz val="12"/>
        <color theme="1"/>
        <rFont val="Calibri"/>
        <family val="2"/>
        <scheme val="minor"/>
      </rPr>
      <t>Engine Coolant Temperature Circuit Range/Performance Problem</t>
    </r>
  </si>
  <si>
    <r>
      <t xml:space="preserve">P0117       </t>
    </r>
    <r>
      <rPr>
        <sz val="12"/>
        <color theme="1"/>
        <rFont val="Calibri"/>
        <family val="2"/>
        <scheme val="minor"/>
      </rPr>
      <t>Engine Coolant Temperature Circuit Low Input</t>
    </r>
  </si>
  <si>
    <r>
      <t xml:space="preserve">P0118       </t>
    </r>
    <r>
      <rPr>
        <sz val="12"/>
        <color theme="1"/>
        <rFont val="Calibri"/>
        <family val="2"/>
        <scheme val="minor"/>
      </rPr>
      <t>Engine Coolant Temperature Circuit High Input</t>
    </r>
  </si>
  <si>
    <r>
      <t xml:space="preserve">P0119       </t>
    </r>
    <r>
      <rPr>
        <sz val="12"/>
        <color theme="1"/>
        <rFont val="Calibri"/>
        <family val="2"/>
        <scheme val="minor"/>
      </rPr>
      <t>Engine Coolant Temperature Circuit Intermittent</t>
    </r>
  </si>
  <si>
    <r>
      <t xml:space="preserve">P0120       </t>
    </r>
    <r>
      <rPr>
        <sz val="12"/>
        <color theme="1"/>
        <rFont val="Calibri"/>
        <family val="2"/>
        <scheme val="minor"/>
      </rPr>
      <t>Throttle Pedal Position Sensor/Switch A Circuit Malfunction</t>
    </r>
  </si>
  <si>
    <r>
      <t xml:space="preserve">P0121       </t>
    </r>
    <r>
      <rPr>
        <sz val="12"/>
        <color theme="1"/>
        <rFont val="Calibri"/>
        <family val="2"/>
        <scheme val="minor"/>
      </rPr>
      <t>Throttle/Pedal Position Sensor/Switch A Circuit Range/Performance Problem</t>
    </r>
  </si>
  <si>
    <r>
      <t xml:space="preserve">P0122       </t>
    </r>
    <r>
      <rPr>
        <sz val="12"/>
        <color theme="1"/>
        <rFont val="Calibri"/>
        <family val="2"/>
        <scheme val="minor"/>
      </rPr>
      <t>Throttle/Pedal Position Sensor/Switch A Circuit Low Input</t>
    </r>
  </si>
  <si>
    <r>
      <t xml:space="preserve">P0123       </t>
    </r>
    <r>
      <rPr>
        <sz val="12"/>
        <color theme="1"/>
        <rFont val="Calibri"/>
        <family val="2"/>
        <scheme val="minor"/>
      </rPr>
      <t>Throttle/Pedal Position Sensor/Switch A Circuit High Input</t>
    </r>
  </si>
  <si>
    <r>
      <t xml:space="preserve">P0124       </t>
    </r>
    <r>
      <rPr>
        <sz val="12"/>
        <color theme="1"/>
        <rFont val="Calibri"/>
        <family val="2"/>
        <scheme val="minor"/>
      </rPr>
      <t>Throttle/Pedal Position Sensor/Switch A Circuit Intermittent</t>
    </r>
  </si>
  <si>
    <r>
      <t xml:space="preserve">P0125       </t>
    </r>
    <r>
      <rPr>
        <sz val="12"/>
        <color theme="1"/>
        <rFont val="Calibri"/>
        <family val="2"/>
        <scheme val="minor"/>
      </rPr>
      <t>Insufficient Coolant Temperature for Closed Loop Fuel Control</t>
    </r>
  </si>
  <si>
    <r>
      <t xml:space="preserve">P0126       </t>
    </r>
    <r>
      <rPr>
        <sz val="12"/>
        <color theme="1"/>
        <rFont val="Calibri"/>
        <family val="2"/>
        <scheme val="minor"/>
      </rPr>
      <t>Insufficient Coolant Temperature for Stable Operation</t>
    </r>
  </si>
  <si>
    <r>
      <t xml:space="preserve">P0130       </t>
    </r>
    <r>
      <rPr>
        <sz val="12"/>
        <color theme="1"/>
        <rFont val="Calibri"/>
        <family val="2"/>
        <scheme val="minor"/>
      </rPr>
      <t>O2 Sensor Circuit Malfunction (Bank 1 Sensor 1)</t>
    </r>
  </si>
  <si>
    <r>
      <t xml:space="preserve">P0131       </t>
    </r>
    <r>
      <rPr>
        <sz val="12"/>
        <color theme="1"/>
        <rFont val="Calibri"/>
        <family val="2"/>
        <scheme val="minor"/>
      </rPr>
      <t>O2 Sensor Circuit Low Voltage (Bank 1 Sensor 1)</t>
    </r>
  </si>
  <si>
    <r>
      <t xml:space="preserve">P0132       </t>
    </r>
    <r>
      <rPr>
        <sz val="12"/>
        <color theme="1"/>
        <rFont val="Calibri"/>
        <family val="2"/>
        <scheme val="minor"/>
      </rPr>
      <t>O2 Sensor Circuit High Voltage (Bank 1 Sensor 1)</t>
    </r>
  </si>
  <si>
    <r>
      <t xml:space="preserve">P0133       </t>
    </r>
    <r>
      <rPr>
        <sz val="12"/>
        <color theme="1"/>
        <rFont val="Calibri"/>
        <family val="2"/>
        <scheme val="minor"/>
      </rPr>
      <t>O2 Sensor Circuit Slow Response (Bank 1 Sensor 1)</t>
    </r>
  </si>
  <si>
    <r>
      <t xml:space="preserve">P0134       </t>
    </r>
    <r>
      <rPr>
        <sz val="12"/>
        <color theme="1"/>
        <rFont val="Calibri"/>
        <family val="2"/>
        <scheme val="minor"/>
      </rPr>
      <t>O2 Sensor Circuit No Activity Detected (Bank 1 Sensor 1)</t>
    </r>
  </si>
  <si>
    <r>
      <t xml:space="preserve">P0135       </t>
    </r>
    <r>
      <rPr>
        <sz val="12"/>
        <color theme="1"/>
        <rFont val="Calibri"/>
        <family val="2"/>
        <scheme val="minor"/>
      </rPr>
      <t>O2 Sensor Heater Circuit Malfunction (Bank 1 Sensor 1)</t>
    </r>
  </si>
  <si>
    <r>
      <t xml:space="preserve">P0136       </t>
    </r>
    <r>
      <rPr>
        <sz val="12"/>
        <color theme="1"/>
        <rFont val="Calibri"/>
        <family val="2"/>
        <scheme val="minor"/>
      </rPr>
      <t>O2 Sensor Circuit Malfunction (Bank 1 Sensor 2)</t>
    </r>
  </si>
  <si>
    <r>
      <t xml:space="preserve">P0137       </t>
    </r>
    <r>
      <rPr>
        <sz val="12"/>
        <color theme="1"/>
        <rFont val="Calibri"/>
        <family val="2"/>
        <scheme val="minor"/>
      </rPr>
      <t>O2 Sensor Circuit Low Voltage (Bank 1 Sensor 2)</t>
    </r>
  </si>
  <si>
    <r>
      <t xml:space="preserve">P0138       </t>
    </r>
    <r>
      <rPr>
        <sz val="12"/>
        <color theme="1"/>
        <rFont val="Calibri"/>
        <family val="2"/>
        <scheme val="minor"/>
      </rPr>
      <t>O2 Sensor Circuit High Voltage (Bank 1 Sensor 2)</t>
    </r>
  </si>
  <si>
    <r>
      <t xml:space="preserve">P0139       </t>
    </r>
    <r>
      <rPr>
        <sz val="12"/>
        <color theme="1"/>
        <rFont val="Calibri"/>
        <family val="2"/>
        <scheme val="minor"/>
      </rPr>
      <t>O2 Sensor Circuit Slow Response (Bank 1 Sensor 2)</t>
    </r>
  </si>
  <si>
    <r>
      <t xml:space="preserve">P0140       </t>
    </r>
    <r>
      <rPr>
        <sz val="12"/>
        <color theme="1"/>
        <rFont val="Calibri"/>
        <family val="2"/>
        <scheme val="minor"/>
      </rPr>
      <t>O2 Sensor Circuit No Activity Detected (Bank 1 Sensor 2)</t>
    </r>
  </si>
  <si>
    <r>
      <t xml:space="preserve">P0141       </t>
    </r>
    <r>
      <rPr>
        <sz val="12"/>
        <color theme="1"/>
        <rFont val="Calibri"/>
        <family val="2"/>
        <scheme val="minor"/>
      </rPr>
      <t>O2 Sensor Heater Circuit Malfunction (Bank 1 Sensor 2)</t>
    </r>
  </si>
  <si>
    <r>
      <t xml:space="preserve">P0142       </t>
    </r>
    <r>
      <rPr>
        <sz val="12"/>
        <color theme="1"/>
        <rFont val="Calibri"/>
        <family val="2"/>
        <scheme val="minor"/>
      </rPr>
      <t>O2 Sensor Circuit Malfunction (Bank 1 Sensor 3)</t>
    </r>
  </si>
  <si>
    <r>
      <t xml:space="preserve">P0143       </t>
    </r>
    <r>
      <rPr>
        <sz val="12"/>
        <color theme="1"/>
        <rFont val="Calibri"/>
        <family val="2"/>
        <scheme val="minor"/>
      </rPr>
      <t>O2 Sensor Circuit Low Voltage (Bank 1 Sensor 3)</t>
    </r>
  </si>
  <si>
    <r>
      <t xml:space="preserve">P0144       </t>
    </r>
    <r>
      <rPr>
        <sz val="12"/>
        <color theme="1"/>
        <rFont val="Calibri"/>
        <family val="2"/>
        <scheme val="minor"/>
      </rPr>
      <t>O2 Sensor Circuit High Voltage (Bank 1 Sensor 3)</t>
    </r>
  </si>
  <si>
    <r>
      <t xml:space="preserve">P0145       </t>
    </r>
    <r>
      <rPr>
        <sz val="12"/>
        <color theme="1"/>
        <rFont val="Calibri"/>
        <family val="2"/>
        <scheme val="minor"/>
      </rPr>
      <t>O2 Sensor Circuit Slow Response (Bank 1 Sensor 3)</t>
    </r>
  </si>
  <si>
    <r>
      <t xml:space="preserve">P0146       </t>
    </r>
    <r>
      <rPr>
        <sz val="12"/>
        <color theme="1"/>
        <rFont val="Calibri"/>
        <family val="2"/>
        <scheme val="minor"/>
      </rPr>
      <t>O2 Sensor Circuit No Activity Detected (Bank 1 Sensor 3)</t>
    </r>
  </si>
  <si>
    <r>
      <t xml:space="preserve">P0147       </t>
    </r>
    <r>
      <rPr>
        <sz val="12"/>
        <color theme="1"/>
        <rFont val="Calibri"/>
        <family val="2"/>
        <scheme val="minor"/>
      </rPr>
      <t>O2 Sensor Heater Circuit Malfunction (Bank 1 Sensor 3)</t>
    </r>
  </si>
  <si>
    <r>
      <t xml:space="preserve">P0150       </t>
    </r>
    <r>
      <rPr>
        <sz val="12"/>
        <color theme="1"/>
        <rFont val="Calibri"/>
        <family val="2"/>
        <scheme val="minor"/>
      </rPr>
      <t>O2 Sensor Circuit Malfunction (Bank 2 Sensor 1)</t>
    </r>
  </si>
  <si>
    <r>
      <t xml:space="preserve">P0151       </t>
    </r>
    <r>
      <rPr>
        <sz val="12"/>
        <color theme="1"/>
        <rFont val="Calibri"/>
        <family val="2"/>
        <scheme val="minor"/>
      </rPr>
      <t>O2 Sensor Circuit Low Voltage (Bank 2 Sensor 1)</t>
    </r>
  </si>
  <si>
    <r>
      <t xml:space="preserve">P0152       </t>
    </r>
    <r>
      <rPr>
        <sz val="12"/>
        <color theme="1"/>
        <rFont val="Calibri"/>
        <family val="2"/>
        <scheme val="minor"/>
      </rPr>
      <t>O2 Sensor Circuit High Voltage (Bank 2 Sensor 1)</t>
    </r>
  </si>
  <si>
    <r>
      <t xml:space="preserve">P0153       </t>
    </r>
    <r>
      <rPr>
        <sz val="12"/>
        <color theme="1"/>
        <rFont val="Calibri"/>
        <family val="2"/>
        <scheme val="minor"/>
      </rPr>
      <t>O2 Sensor Circuit Slow Response (Bank 2 Sensor 1)</t>
    </r>
  </si>
  <si>
    <r>
      <t xml:space="preserve">P0154       </t>
    </r>
    <r>
      <rPr>
        <sz val="12"/>
        <color theme="1"/>
        <rFont val="Calibri"/>
        <family val="2"/>
        <scheme val="minor"/>
      </rPr>
      <t>O2 Sensor Circuit No Activity Detected (Bank 2 Sensor 1)</t>
    </r>
  </si>
  <si>
    <r>
      <t xml:space="preserve">P0155       </t>
    </r>
    <r>
      <rPr>
        <sz val="12"/>
        <color theme="1"/>
        <rFont val="Calibri"/>
        <family val="2"/>
        <scheme val="minor"/>
      </rPr>
      <t>O2 Sensor Heater Circuit Malfunction (Bank 2 Sensor 1)</t>
    </r>
  </si>
  <si>
    <r>
      <t xml:space="preserve">P0156       </t>
    </r>
    <r>
      <rPr>
        <sz val="12"/>
        <color theme="1"/>
        <rFont val="Calibri"/>
        <family val="2"/>
        <scheme val="minor"/>
      </rPr>
      <t>O2 Sensor Circuit Malfunction (Bank 2 Sensor 2)</t>
    </r>
  </si>
  <si>
    <r>
      <t xml:space="preserve">P0157       </t>
    </r>
    <r>
      <rPr>
        <sz val="12"/>
        <color theme="1"/>
        <rFont val="Calibri"/>
        <family val="2"/>
        <scheme val="minor"/>
      </rPr>
      <t>O2 Sensor Circuit Low Voltage (Bank 2 Sensor 2)</t>
    </r>
  </si>
  <si>
    <r>
      <t xml:space="preserve">P0158       </t>
    </r>
    <r>
      <rPr>
        <sz val="12"/>
        <color theme="1"/>
        <rFont val="Calibri"/>
        <family val="2"/>
        <scheme val="minor"/>
      </rPr>
      <t>O2 Sensor Circuit High Voltage (Bank 2 Sensor 2)</t>
    </r>
  </si>
  <si>
    <r>
      <t xml:space="preserve">P0159       </t>
    </r>
    <r>
      <rPr>
        <sz val="12"/>
        <color theme="1"/>
        <rFont val="Calibri"/>
        <family val="2"/>
        <scheme val="minor"/>
      </rPr>
      <t>O2 Sensor Circuit Slow Response (Bank 2 Sensor 2)</t>
    </r>
  </si>
  <si>
    <r>
      <t xml:space="preserve">P0160       </t>
    </r>
    <r>
      <rPr>
        <sz val="12"/>
        <color theme="1"/>
        <rFont val="Calibri"/>
        <family val="2"/>
        <scheme val="minor"/>
      </rPr>
      <t>O2 Sensor Circuit No Activity Detected (Bank 2 Sensor 2)</t>
    </r>
  </si>
  <si>
    <r>
      <t xml:space="preserve">P0161       </t>
    </r>
    <r>
      <rPr>
        <sz val="12"/>
        <color theme="1"/>
        <rFont val="Calibri"/>
        <family val="2"/>
        <scheme val="minor"/>
      </rPr>
      <t>O2 Sensor Heater Circuit Malfunction (Bank 2 Sensor 2)</t>
    </r>
  </si>
  <si>
    <r>
      <t xml:space="preserve">P0162       </t>
    </r>
    <r>
      <rPr>
        <sz val="12"/>
        <color theme="1"/>
        <rFont val="Calibri"/>
        <family val="2"/>
        <scheme val="minor"/>
      </rPr>
      <t>O2 Sensor Circuit Malfunction (Bank 2 Sensor 3)</t>
    </r>
  </si>
  <si>
    <r>
      <t xml:space="preserve">P0163       </t>
    </r>
    <r>
      <rPr>
        <sz val="12"/>
        <color theme="1"/>
        <rFont val="Calibri"/>
        <family val="2"/>
        <scheme val="minor"/>
      </rPr>
      <t>O2 Sensor Circuit Low Voltage (Bank 2 Sensor 3)</t>
    </r>
  </si>
  <si>
    <r>
      <t xml:space="preserve">P0164       </t>
    </r>
    <r>
      <rPr>
        <sz val="12"/>
        <color theme="1"/>
        <rFont val="Calibri"/>
        <family val="2"/>
        <scheme val="minor"/>
      </rPr>
      <t>O2 Sensor Circuit High Voltage (Bank 2 Sensor 3)</t>
    </r>
  </si>
  <si>
    <r>
      <t xml:space="preserve">P0165       </t>
    </r>
    <r>
      <rPr>
        <sz val="12"/>
        <color theme="1"/>
        <rFont val="Calibri"/>
        <family val="2"/>
        <scheme val="minor"/>
      </rPr>
      <t>O2 Sensor Circuit Slow Response (Bank 2 Sensor 3)</t>
    </r>
  </si>
  <si>
    <r>
      <t xml:space="preserve">P0166       </t>
    </r>
    <r>
      <rPr>
        <sz val="12"/>
        <color theme="1"/>
        <rFont val="Calibri"/>
        <family val="2"/>
        <scheme val="minor"/>
      </rPr>
      <t>O2 Sensor Circuit No Activity Detected (Bank 2 Sensor 3)</t>
    </r>
  </si>
  <si>
    <r>
      <t xml:space="preserve">P0167       </t>
    </r>
    <r>
      <rPr>
        <sz val="12"/>
        <color theme="1"/>
        <rFont val="Calibri"/>
        <family val="2"/>
        <scheme val="minor"/>
      </rPr>
      <t>O2 Sensor Heater Circuit Malfunction (Bank 2 Sensor 3)</t>
    </r>
  </si>
  <si>
    <r>
      <t xml:space="preserve">P0170       </t>
    </r>
    <r>
      <rPr>
        <sz val="12"/>
        <color theme="1"/>
        <rFont val="Calibri"/>
        <family val="2"/>
        <scheme val="minor"/>
      </rPr>
      <t>Fuel Trim Malfunction (Bank 1)</t>
    </r>
  </si>
  <si>
    <r>
      <t xml:space="preserve">P0171       </t>
    </r>
    <r>
      <rPr>
        <sz val="12"/>
        <color theme="1"/>
        <rFont val="Calibri"/>
        <family val="2"/>
        <scheme val="minor"/>
      </rPr>
      <t>System Too Lean (Bank 1)</t>
    </r>
  </si>
  <si>
    <r>
      <t xml:space="preserve">P0172       </t>
    </r>
    <r>
      <rPr>
        <sz val="12"/>
        <color theme="1"/>
        <rFont val="Calibri"/>
        <family val="2"/>
        <scheme val="minor"/>
      </rPr>
      <t>System Too Rich (Bank 1)</t>
    </r>
  </si>
  <si>
    <r>
      <t xml:space="preserve">P0173       </t>
    </r>
    <r>
      <rPr>
        <sz val="12"/>
        <color theme="1"/>
        <rFont val="Calibri"/>
        <family val="2"/>
        <scheme val="minor"/>
      </rPr>
      <t>Fuel Trim Malfunction (Bank 2)</t>
    </r>
  </si>
  <si>
    <r>
      <t xml:space="preserve">P0174       </t>
    </r>
    <r>
      <rPr>
        <sz val="12"/>
        <color theme="1"/>
        <rFont val="Calibri"/>
        <family val="2"/>
        <scheme val="minor"/>
      </rPr>
      <t>System Too Lean (Bank 2)</t>
    </r>
  </si>
  <si>
    <r>
      <t xml:space="preserve">P0175       </t>
    </r>
    <r>
      <rPr>
        <sz val="12"/>
        <color theme="1"/>
        <rFont val="Calibri"/>
        <family val="2"/>
        <scheme val="minor"/>
      </rPr>
      <t>System Too Rich (Bank 2)</t>
    </r>
  </si>
  <si>
    <r>
      <t xml:space="preserve">P0176       </t>
    </r>
    <r>
      <rPr>
        <sz val="12"/>
        <color theme="1"/>
        <rFont val="Calibri"/>
        <family val="2"/>
        <scheme val="minor"/>
      </rPr>
      <t>Fuel Composition Sensor Circuit Malfunction</t>
    </r>
  </si>
  <si>
    <r>
      <t xml:space="preserve">P0177       </t>
    </r>
    <r>
      <rPr>
        <sz val="12"/>
        <color theme="1"/>
        <rFont val="Calibri"/>
        <family val="2"/>
        <scheme val="minor"/>
      </rPr>
      <t>Fuel Composition Sensor Circuit Range/Performance</t>
    </r>
  </si>
  <si>
    <r>
      <t xml:space="preserve">P0178       </t>
    </r>
    <r>
      <rPr>
        <sz val="12"/>
        <color theme="1"/>
        <rFont val="Calibri"/>
        <family val="2"/>
        <scheme val="minor"/>
      </rPr>
      <t>Fuel Composition Sensor Circuit Low Input</t>
    </r>
  </si>
  <si>
    <r>
      <t xml:space="preserve">P0179       </t>
    </r>
    <r>
      <rPr>
        <sz val="12"/>
        <color theme="1"/>
        <rFont val="Calibri"/>
        <family val="2"/>
        <scheme val="minor"/>
      </rPr>
      <t>Fuel Composition Sensor Circuit High Input</t>
    </r>
  </si>
  <si>
    <r>
      <t xml:space="preserve">P0180       </t>
    </r>
    <r>
      <rPr>
        <sz val="12"/>
        <color theme="1"/>
        <rFont val="Calibri"/>
        <family val="2"/>
        <scheme val="minor"/>
      </rPr>
      <t>Fuel Temperature Sensor A Circuit Malfunction</t>
    </r>
  </si>
  <si>
    <r>
      <t xml:space="preserve">P0181       </t>
    </r>
    <r>
      <rPr>
        <sz val="12"/>
        <color theme="1"/>
        <rFont val="Calibri"/>
        <family val="2"/>
        <scheme val="minor"/>
      </rPr>
      <t>Fuel Temperature Sensor A Circuit Performance</t>
    </r>
  </si>
  <si>
    <r>
      <t xml:space="preserve">P0182       </t>
    </r>
    <r>
      <rPr>
        <sz val="12"/>
        <color theme="1"/>
        <rFont val="Calibri"/>
        <family val="2"/>
        <scheme val="minor"/>
      </rPr>
      <t>Fuel Temperature Sensor A Circuit low Input</t>
    </r>
  </si>
  <si>
    <r>
      <t xml:space="preserve">P0183       </t>
    </r>
    <r>
      <rPr>
        <sz val="12"/>
        <color theme="1"/>
        <rFont val="Calibri"/>
        <family val="2"/>
        <scheme val="minor"/>
      </rPr>
      <t>Fuel Temperature Sensor A Circuit High Input</t>
    </r>
  </si>
  <si>
    <r>
      <t xml:space="preserve">P0184       </t>
    </r>
    <r>
      <rPr>
        <sz val="12"/>
        <color theme="1"/>
        <rFont val="Calibri"/>
        <family val="2"/>
        <scheme val="minor"/>
      </rPr>
      <t>Fuel Temperature Sensor A Circuit Intermittent</t>
    </r>
  </si>
  <si>
    <r>
      <t xml:space="preserve">P0185       </t>
    </r>
    <r>
      <rPr>
        <sz val="12"/>
        <color theme="1"/>
        <rFont val="Calibri"/>
        <family val="2"/>
        <scheme val="minor"/>
      </rPr>
      <t>Fuel Temperature Sensor B Circuit Malfunction</t>
    </r>
  </si>
  <si>
    <r>
      <t xml:space="preserve">P0186       </t>
    </r>
    <r>
      <rPr>
        <sz val="12"/>
        <color theme="1"/>
        <rFont val="Calibri"/>
        <family val="2"/>
        <scheme val="minor"/>
      </rPr>
      <t>Fuel Temperature Sensor B Circuit Range/Performance</t>
    </r>
  </si>
  <si>
    <r>
      <t xml:space="preserve">P0187       </t>
    </r>
    <r>
      <rPr>
        <sz val="12"/>
        <color theme="1"/>
        <rFont val="Calibri"/>
        <family val="2"/>
        <scheme val="minor"/>
      </rPr>
      <t>Fuel Temperature Sensor U Circuit Low Input</t>
    </r>
  </si>
  <si>
    <r>
      <t xml:space="preserve">P0188       </t>
    </r>
    <r>
      <rPr>
        <sz val="12"/>
        <color theme="1"/>
        <rFont val="Calibri"/>
        <family val="2"/>
        <scheme val="minor"/>
      </rPr>
      <t>Fuel Temperature Sensor B Circuit High Input</t>
    </r>
  </si>
  <si>
    <r>
      <t xml:space="preserve">P0189       </t>
    </r>
    <r>
      <rPr>
        <sz val="12"/>
        <color theme="1"/>
        <rFont val="Calibri"/>
        <family val="2"/>
        <scheme val="minor"/>
      </rPr>
      <t>Fuel Temperature Sensor B Circuit Intermittent</t>
    </r>
  </si>
  <si>
    <r>
      <t xml:space="preserve">P0190       </t>
    </r>
    <r>
      <rPr>
        <sz val="12"/>
        <color theme="1"/>
        <rFont val="Calibri"/>
        <family val="2"/>
        <scheme val="minor"/>
      </rPr>
      <t>Fuel Rail Pressure Sensor Circuit Malfunction</t>
    </r>
  </si>
  <si>
    <r>
      <t xml:space="preserve">P0191       </t>
    </r>
    <r>
      <rPr>
        <sz val="12"/>
        <color theme="1"/>
        <rFont val="Calibri"/>
        <family val="2"/>
        <scheme val="minor"/>
      </rPr>
      <t>Fuel Rail Pressure Sensor Circuit Range/Performance</t>
    </r>
  </si>
  <si>
    <r>
      <t xml:space="preserve">P0192       </t>
    </r>
    <r>
      <rPr>
        <sz val="12"/>
        <color theme="1"/>
        <rFont val="Calibri"/>
        <family val="2"/>
        <scheme val="minor"/>
      </rPr>
      <t>Fuel Rail Pressure Sensor Circuit Low Input</t>
    </r>
  </si>
  <si>
    <r>
      <t xml:space="preserve">P0193       </t>
    </r>
    <r>
      <rPr>
        <sz val="12"/>
        <color theme="1"/>
        <rFont val="Calibri"/>
        <family val="2"/>
        <scheme val="minor"/>
      </rPr>
      <t>Fuel Rail Pressure Sensor Circuit High Input</t>
    </r>
  </si>
  <si>
    <r>
      <t xml:space="preserve">P0194       </t>
    </r>
    <r>
      <rPr>
        <sz val="12"/>
        <color theme="1"/>
        <rFont val="Calibri"/>
        <family val="2"/>
        <scheme val="minor"/>
      </rPr>
      <t>Fuel Rail Pressure Sensor Circuit Intermittent</t>
    </r>
  </si>
  <si>
    <r>
      <t xml:space="preserve">P0195       </t>
    </r>
    <r>
      <rPr>
        <sz val="12"/>
        <color theme="1"/>
        <rFont val="Calibri"/>
        <family val="2"/>
        <scheme val="minor"/>
      </rPr>
      <t>Engine Oil Temperature Sensor Malfunction</t>
    </r>
  </si>
  <si>
    <r>
      <t xml:space="preserve">P0196       </t>
    </r>
    <r>
      <rPr>
        <sz val="12"/>
        <color theme="1"/>
        <rFont val="Calibri"/>
        <family val="2"/>
        <scheme val="minor"/>
      </rPr>
      <t>Engine Oil Temperature Sensor Range/Performance</t>
    </r>
  </si>
  <si>
    <r>
      <t xml:space="preserve">P0197       </t>
    </r>
    <r>
      <rPr>
        <sz val="12"/>
        <color theme="1"/>
        <rFont val="Calibri"/>
        <family val="2"/>
        <scheme val="minor"/>
      </rPr>
      <t>Engine Oil Temperature Sensor Low</t>
    </r>
  </si>
  <si>
    <r>
      <t xml:space="preserve">P0198       </t>
    </r>
    <r>
      <rPr>
        <sz val="12"/>
        <color theme="1"/>
        <rFont val="Calibri"/>
        <family val="2"/>
        <scheme val="minor"/>
      </rPr>
      <t>Engine Oil Temperature Sensor High</t>
    </r>
  </si>
  <si>
    <r>
      <t xml:space="preserve">P0199       </t>
    </r>
    <r>
      <rPr>
        <sz val="12"/>
        <color theme="1"/>
        <rFont val="Calibri"/>
        <family val="2"/>
        <scheme val="minor"/>
      </rPr>
      <t>Engine Oil Temperature Sensor Intermittent</t>
    </r>
  </si>
  <si>
    <r>
      <t xml:space="preserve">P0200       </t>
    </r>
    <r>
      <rPr>
        <sz val="12"/>
        <color theme="1"/>
        <rFont val="Calibri"/>
        <family val="2"/>
        <scheme val="minor"/>
      </rPr>
      <t>Injector Circuit Malfunction</t>
    </r>
  </si>
  <si>
    <r>
      <t xml:space="preserve">P0201       </t>
    </r>
    <r>
      <rPr>
        <sz val="12"/>
        <color theme="1"/>
        <rFont val="Calibri"/>
        <family val="2"/>
        <scheme val="minor"/>
      </rPr>
      <t>Injector Circuit Malfunction - Cylinder 1</t>
    </r>
  </si>
  <si>
    <r>
      <t xml:space="preserve">P0202       </t>
    </r>
    <r>
      <rPr>
        <sz val="12"/>
        <color theme="1"/>
        <rFont val="Calibri"/>
        <family val="2"/>
        <scheme val="minor"/>
      </rPr>
      <t>Injector Circuit Malfunction - Cylinder 2</t>
    </r>
  </si>
  <si>
    <r>
      <t xml:space="preserve">P0203       </t>
    </r>
    <r>
      <rPr>
        <sz val="12"/>
        <color theme="1"/>
        <rFont val="Calibri"/>
        <family val="2"/>
        <scheme val="minor"/>
      </rPr>
      <t>Injector Circuit Malfunction - Cylinder 3</t>
    </r>
  </si>
  <si>
    <r>
      <t xml:space="preserve">P0204       </t>
    </r>
    <r>
      <rPr>
        <sz val="12"/>
        <color theme="1"/>
        <rFont val="Calibri"/>
        <family val="2"/>
        <scheme val="minor"/>
      </rPr>
      <t>Injector Circuit Malfunction - Cylinder 4</t>
    </r>
  </si>
  <si>
    <r>
      <t xml:space="preserve">P0205       </t>
    </r>
    <r>
      <rPr>
        <sz val="12"/>
        <color theme="1"/>
        <rFont val="Calibri"/>
        <family val="2"/>
        <scheme val="minor"/>
      </rPr>
      <t>Injector Circuit Malfunction - Cylinder 5</t>
    </r>
  </si>
  <si>
    <r>
      <t xml:space="preserve">P0206       </t>
    </r>
    <r>
      <rPr>
        <sz val="12"/>
        <color theme="1"/>
        <rFont val="Calibri"/>
        <family val="2"/>
        <scheme val="minor"/>
      </rPr>
      <t>Injector Circuit Malfunction - Cylinder 6</t>
    </r>
  </si>
  <si>
    <r>
      <t xml:space="preserve">P0207       </t>
    </r>
    <r>
      <rPr>
        <sz val="12"/>
        <color theme="1"/>
        <rFont val="Calibri"/>
        <family val="2"/>
        <scheme val="minor"/>
      </rPr>
      <t>Injector Circuit Malfunction - Cylinder 7</t>
    </r>
  </si>
  <si>
    <r>
      <t xml:space="preserve">P0208       </t>
    </r>
    <r>
      <rPr>
        <sz val="12"/>
        <color theme="1"/>
        <rFont val="Calibri"/>
        <family val="2"/>
        <scheme val="minor"/>
      </rPr>
      <t>Injector Circuit Malfunction - Cylinder 8</t>
    </r>
  </si>
  <si>
    <r>
      <t xml:space="preserve">P0209       </t>
    </r>
    <r>
      <rPr>
        <sz val="12"/>
        <color theme="1"/>
        <rFont val="Calibri"/>
        <family val="2"/>
        <scheme val="minor"/>
      </rPr>
      <t>Injector Circuit Malfunction - Cylinder 9</t>
    </r>
  </si>
  <si>
    <r>
      <t xml:space="preserve">P0210       </t>
    </r>
    <r>
      <rPr>
        <sz val="12"/>
        <color theme="1"/>
        <rFont val="Calibri"/>
        <family val="2"/>
        <scheme val="minor"/>
      </rPr>
      <t>Injector Circuit Malfunction - Cylinder 10</t>
    </r>
  </si>
  <si>
    <r>
      <t xml:space="preserve">P0211       </t>
    </r>
    <r>
      <rPr>
        <sz val="12"/>
        <color theme="1"/>
        <rFont val="Calibri"/>
        <family val="2"/>
        <scheme val="minor"/>
      </rPr>
      <t>Injector Circuit Malfunction - Cylinder 11</t>
    </r>
  </si>
  <si>
    <r>
      <t xml:space="preserve">P0212       </t>
    </r>
    <r>
      <rPr>
        <sz val="12"/>
        <color theme="1"/>
        <rFont val="Calibri"/>
        <family val="2"/>
        <scheme val="minor"/>
      </rPr>
      <t>Injector Circuit Malfunction - Cylinder 12</t>
    </r>
  </si>
  <si>
    <r>
      <t xml:space="preserve">P0213       </t>
    </r>
    <r>
      <rPr>
        <sz val="12"/>
        <color theme="1"/>
        <rFont val="Calibri"/>
        <family val="2"/>
        <scheme val="minor"/>
      </rPr>
      <t>Cold Start Injector 1 Malfunction</t>
    </r>
  </si>
  <si>
    <r>
      <t xml:space="preserve">P0214       </t>
    </r>
    <r>
      <rPr>
        <sz val="12"/>
        <color theme="1"/>
        <rFont val="Calibri"/>
        <family val="2"/>
        <scheme val="minor"/>
      </rPr>
      <t>Cold Start Injector 2 Malfunction</t>
    </r>
  </si>
  <si>
    <r>
      <t xml:space="preserve">P0215       </t>
    </r>
    <r>
      <rPr>
        <sz val="12"/>
        <color theme="1"/>
        <rFont val="Calibri"/>
        <family val="2"/>
        <scheme val="minor"/>
      </rPr>
      <t>Engine Shutoff Solenoid Malfunction</t>
    </r>
  </si>
  <si>
    <r>
      <t xml:space="preserve">P0216       </t>
    </r>
    <r>
      <rPr>
        <sz val="12"/>
        <color theme="1"/>
        <rFont val="Calibri"/>
        <family val="2"/>
        <scheme val="minor"/>
      </rPr>
      <t>Injection Timing Control Circuit Malfunction</t>
    </r>
  </si>
  <si>
    <r>
      <t xml:space="preserve">P0217       </t>
    </r>
    <r>
      <rPr>
        <sz val="12"/>
        <color theme="1"/>
        <rFont val="Calibri"/>
        <family val="2"/>
        <scheme val="minor"/>
      </rPr>
      <t>Engine Overtemp Condition</t>
    </r>
  </si>
  <si>
    <r>
      <t xml:space="preserve">P0218       </t>
    </r>
    <r>
      <rPr>
        <sz val="12"/>
        <color theme="1"/>
        <rFont val="Calibri"/>
        <family val="2"/>
        <scheme val="minor"/>
      </rPr>
      <t>Transmission Over Temperature Condition</t>
    </r>
  </si>
  <si>
    <r>
      <t xml:space="preserve">P0219       </t>
    </r>
    <r>
      <rPr>
        <sz val="12"/>
        <color theme="1"/>
        <rFont val="Calibri"/>
        <family val="2"/>
        <scheme val="minor"/>
      </rPr>
      <t>Engine Over Speed Condition</t>
    </r>
  </si>
  <si>
    <r>
      <t xml:space="preserve">P0220       </t>
    </r>
    <r>
      <rPr>
        <sz val="12"/>
        <color theme="1"/>
        <rFont val="Calibri"/>
        <family val="2"/>
        <scheme val="minor"/>
      </rPr>
      <t>Throttle/Pedal Position Sensor/Switch B Circuit Malfunction</t>
    </r>
  </si>
  <si>
    <r>
      <t xml:space="preserve">P0221       </t>
    </r>
    <r>
      <rPr>
        <sz val="12"/>
        <color theme="1"/>
        <rFont val="Calibri"/>
        <family val="2"/>
        <scheme val="minor"/>
      </rPr>
      <t>Throttle/pedal Position Sensor/Switch B Circuit Range/Performance Problem</t>
    </r>
  </si>
  <si>
    <r>
      <t xml:space="preserve">P0222       </t>
    </r>
    <r>
      <rPr>
        <sz val="12"/>
        <color theme="1"/>
        <rFont val="Calibri"/>
        <family val="2"/>
        <scheme val="minor"/>
      </rPr>
      <t>Throttle/pedal Position Sensor/Switch B Circuit Low Input</t>
    </r>
  </si>
  <si>
    <r>
      <t xml:space="preserve">P0223       </t>
    </r>
    <r>
      <rPr>
        <sz val="12"/>
        <color theme="1"/>
        <rFont val="Calibri"/>
        <family val="2"/>
        <scheme val="minor"/>
      </rPr>
      <t>Throttle/Pedal Position Sensor/Switch B Circuit High Input</t>
    </r>
  </si>
  <si>
    <r>
      <t xml:space="preserve">P0224       </t>
    </r>
    <r>
      <rPr>
        <sz val="12"/>
        <color theme="1"/>
        <rFont val="Calibri"/>
        <family val="2"/>
        <scheme val="minor"/>
      </rPr>
      <t>Throttle/Pedal Position Sensor/Switch B Circuit Intermittent</t>
    </r>
  </si>
  <si>
    <r>
      <t xml:space="preserve">P0225       </t>
    </r>
    <r>
      <rPr>
        <sz val="12"/>
        <color theme="1"/>
        <rFont val="Calibri"/>
        <family val="2"/>
        <scheme val="minor"/>
      </rPr>
      <t>Throttle/Pedal Position Sensor/Switch C Circuit Malfunction</t>
    </r>
  </si>
  <si>
    <r>
      <t xml:space="preserve">P0226       </t>
    </r>
    <r>
      <rPr>
        <sz val="12"/>
        <color theme="1"/>
        <rFont val="Calibri"/>
        <family val="2"/>
        <scheme val="minor"/>
      </rPr>
      <t>Throttle/Pedal Position Sensor/Switch C Circuit Range/Performance Problem</t>
    </r>
  </si>
  <si>
    <r>
      <t xml:space="preserve">P0227       </t>
    </r>
    <r>
      <rPr>
        <sz val="12"/>
        <color theme="1"/>
        <rFont val="Calibri"/>
        <family val="2"/>
        <scheme val="minor"/>
      </rPr>
      <t>Throttle/Pedal Position Sensor/Switch C Circuit Low Input</t>
    </r>
  </si>
  <si>
    <r>
      <t xml:space="preserve">P0228       </t>
    </r>
    <r>
      <rPr>
        <sz val="12"/>
        <color theme="1"/>
        <rFont val="Calibri"/>
        <family val="2"/>
        <scheme val="minor"/>
      </rPr>
      <t>Throttle/Pedal Position Sensor/Switch C Circuit High Input</t>
    </r>
  </si>
  <si>
    <r>
      <t xml:space="preserve">P0229       </t>
    </r>
    <r>
      <rPr>
        <sz val="12"/>
        <color theme="1"/>
        <rFont val="Calibri"/>
        <family val="2"/>
        <scheme val="minor"/>
      </rPr>
      <t>Throttle/Pedal Position Sensor/Switch C Circuit Intermittent</t>
    </r>
  </si>
  <si>
    <r>
      <t xml:space="preserve">P0230       </t>
    </r>
    <r>
      <rPr>
        <sz val="12"/>
        <color theme="1"/>
        <rFont val="Calibri"/>
        <family val="2"/>
        <scheme val="minor"/>
      </rPr>
      <t>Fuel Pump Primary Circuit Malfunction</t>
    </r>
  </si>
  <si>
    <r>
      <t xml:space="preserve">P0231       </t>
    </r>
    <r>
      <rPr>
        <sz val="12"/>
        <color theme="1"/>
        <rFont val="Calibri"/>
        <family val="2"/>
        <scheme val="minor"/>
      </rPr>
      <t>Fuel Pump Secondary Circuit Low</t>
    </r>
  </si>
  <si>
    <r>
      <t xml:space="preserve">P0232       </t>
    </r>
    <r>
      <rPr>
        <sz val="12"/>
        <color theme="1"/>
        <rFont val="Calibri"/>
        <family val="2"/>
        <scheme val="minor"/>
      </rPr>
      <t>Fuel Pump Secondary Circuit High</t>
    </r>
  </si>
  <si>
    <r>
      <t xml:space="preserve">P0233       </t>
    </r>
    <r>
      <rPr>
        <sz val="12"/>
        <color theme="1"/>
        <rFont val="Calibri"/>
        <family val="2"/>
        <scheme val="minor"/>
      </rPr>
      <t>Fuel Pump Secondary Circuit Intermittent</t>
    </r>
  </si>
  <si>
    <r>
      <t xml:space="preserve">P0234       </t>
    </r>
    <r>
      <rPr>
        <sz val="12"/>
        <color theme="1"/>
        <rFont val="Calibri"/>
        <family val="2"/>
        <scheme val="minor"/>
      </rPr>
      <t>Engine Overboost Condition</t>
    </r>
  </si>
  <si>
    <r>
      <t xml:space="preserve">P0235       </t>
    </r>
    <r>
      <rPr>
        <sz val="12"/>
        <color theme="1"/>
        <rFont val="Calibri"/>
        <family val="2"/>
        <scheme val="minor"/>
      </rPr>
      <t>Turbocharger Boost Sensor A Circuit Malfunction</t>
    </r>
  </si>
  <si>
    <r>
      <t xml:space="preserve">P0236       </t>
    </r>
    <r>
      <rPr>
        <sz val="12"/>
        <color theme="1"/>
        <rFont val="Calibri"/>
        <family val="2"/>
        <scheme val="minor"/>
      </rPr>
      <t>Turbocharger Boost Sensor A Circuit Range/Performance</t>
    </r>
  </si>
  <si>
    <r>
      <t xml:space="preserve">P0237       </t>
    </r>
    <r>
      <rPr>
        <sz val="12"/>
        <color theme="1"/>
        <rFont val="Calibri"/>
        <family val="2"/>
        <scheme val="minor"/>
      </rPr>
      <t>Turbocharger Boost Sensor A Circuit Low</t>
    </r>
  </si>
  <si>
    <r>
      <t xml:space="preserve">P0238       </t>
    </r>
    <r>
      <rPr>
        <sz val="12"/>
        <color theme="1"/>
        <rFont val="Calibri"/>
        <family val="2"/>
        <scheme val="minor"/>
      </rPr>
      <t>Turbocharger Boost Sensor A Circuit High</t>
    </r>
  </si>
  <si>
    <r>
      <t xml:space="preserve">P0239       </t>
    </r>
    <r>
      <rPr>
        <sz val="12"/>
        <color theme="1"/>
        <rFont val="Calibri"/>
        <family val="2"/>
        <scheme val="minor"/>
      </rPr>
      <t>Turbocharger Boost Sensor B Circuit Malfunction</t>
    </r>
  </si>
  <si>
    <r>
      <t xml:space="preserve">P0240       </t>
    </r>
    <r>
      <rPr>
        <sz val="12"/>
        <color theme="1"/>
        <rFont val="Calibri"/>
        <family val="2"/>
        <scheme val="minor"/>
      </rPr>
      <t>Turbocharger Boost Sensor B Circuit Range/Performance</t>
    </r>
  </si>
  <si>
    <r>
      <t xml:space="preserve">P0241       </t>
    </r>
    <r>
      <rPr>
        <sz val="12"/>
        <color theme="1"/>
        <rFont val="Calibri"/>
        <family val="2"/>
        <scheme val="minor"/>
      </rPr>
      <t>Turbocharger Boost Sensor B Circuit Low</t>
    </r>
  </si>
  <si>
    <r>
      <t xml:space="preserve">P0242       </t>
    </r>
    <r>
      <rPr>
        <sz val="12"/>
        <color theme="1"/>
        <rFont val="Calibri"/>
        <family val="2"/>
        <scheme val="minor"/>
      </rPr>
      <t>Turbocharger Boost Sensor B Circuit High</t>
    </r>
  </si>
  <si>
    <r>
      <t xml:space="preserve">P0243       </t>
    </r>
    <r>
      <rPr>
        <sz val="12"/>
        <color theme="1"/>
        <rFont val="Calibri"/>
        <family val="2"/>
        <scheme val="minor"/>
      </rPr>
      <t>Turbocharger Wastegate Solenoid A Malfunction</t>
    </r>
  </si>
  <si>
    <r>
      <t xml:space="preserve">P0244       </t>
    </r>
    <r>
      <rPr>
        <sz val="12"/>
        <color theme="1"/>
        <rFont val="Calibri"/>
        <family val="2"/>
        <scheme val="minor"/>
      </rPr>
      <t>Turbocharger Wastegate Solenoid A Range/Performance</t>
    </r>
  </si>
  <si>
    <r>
      <t xml:space="preserve">P0245       </t>
    </r>
    <r>
      <rPr>
        <sz val="12"/>
        <color theme="1"/>
        <rFont val="Calibri"/>
        <family val="2"/>
        <scheme val="minor"/>
      </rPr>
      <t>Turbocharger Wastegate Solenoid A low</t>
    </r>
  </si>
  <si>
    <r>
      <t xml:space="preserve">P0246       </t>
    </r>
    <r>
      <rPr>
        <sz val="12"/>
        <color theme="1"/>
        <rFont val="Calibri"/>
        <family val="2"/>
        <scheme val="minor"/>
      </rPr>
      <t>Turbocharger Wastegate Solenoid A High</t>
    </r>
  </si>
  <si>
    <r>
      <t xml:space="preserve">P0247       </t>
    </r>
    <r>
      <rPr>
        <sz val="12"/>
        <color theme="1"/>
        <rFont val="Calibri"/>
        <family val="2"/>
        <scheme val="minor"/>
      </rPr>
      <t>Turbocharger Wastegate Solenoid B Malfunction</t>
    </r>
  </si>
  <si>
    <r>
      <t xml:space="preserve">P0248       </t>
    </r>
    <r>
      <rPr>
        <sz val="12"/>
        <color theme="1"/>
        <rFont val="Calibri"/>
        <family val="2"/>
        <scheme val="minor"/>
      </rPr>
      <t>Turbocharger Wastegate Solenoid B Range/Performance</t>
    </r>
  </si>
  <si>
    <r>
      <t xml:space="preserve">P0249       </t>
    </r>
    <r>
      <rPr>
        <sz val="12"/>
        <color theme="1"/>
        <rFont val="Calibri"/>
        <family val="2"/>
        <scheme val="minor"/>
      </rPr>
      <t>Turbocharger Wastegate Solenoid B Low</t>
    </r>
  </si>
  <si>
    <r>
      <t xml:space="preserve">P0250       </t>
    </r>
    <r>
      <rPr>
        <sz val="12"/>
        <color theme="1"/>
        <rFont val="Calibri"/>
        <family val="2"/>
        <scheme val="minor"/>
      </rPr>
      <t>Turbocharger Wastegate Solenoid B High</t>
    </r>
  </si>
  <si>
    <r>
      <t xml:space="preserve">P0251       </t>
    </r>
    <r>
      <rPr>
        <sz val="12"/>
        <color theme="1"/>
        <rFont val="Calibri"/>
        <family val="2"/>
        <scheme val="minor"/>
      </rPr>
      <t>Injection Pump Fuel Metering Control "A" Malfunction (Cam/Rotor/Injector)</t>
    </r>
  </si>
  <si>
    <r>
      <t xml:space="preserve">P0252       </t>
    </r>
    <r>
      <rPr>
        <sz val="12"/>
        <color theme="1"/>
        <rFont val="Calibri"/>
        <family val="2"/>
        <scheme val="minor"/>
      </rPr>
      <t>Injection Pump Fuel Metering Control "A" Range/Performance (Cam/Rotor/Injector)</t>
    </r>
  </si>
  <si>
    <r>
      <t xml:space="preserve">P0253       </t>
    </r>
    <r>
      <rPr>
        <sz val="12"/>
        <color theme="1"/>
        <rFont val="Calibri"/>
        <family val="2"/>
        <scheme val="minor"/>
      </rPr>
      <t>Injection Pump Fuel Metering Control "A" Low (Cam/Rotor/Injector)</t>
    </r>
  </si>
  <si>
    <r>
      <t xml:space="preserve">P0254       </t>
    </r>
    <r>
      <rPr>
        <sz val="12"/>
        <color theme="1"/>
        <rFont val="Calibri"/>
        <family val="2"/>
        <scheme val="minor"/>
      </rPr>
      <t>Injection Pump Fuel Metering Control "A" High (Cam/Rotor/Injector)</t>
    </r>
  </si>
  <si>
    <r>
      <t xml:space="preserve">P0255       </t>
    </r>
    <r>
      <rPr>
        <sz val="12"/>
        <color theme="1"/>
        <rFont val="Calibri"/>
        <family val="2"/>
        <scheme val="minor"/>
      </rPr>
      <t>Injection Pump Fuel Metering Control "A" Intermittent (Cam/Rotor/Injector)</t>
    </r>
  </si>
  <si>
    <r>
      <t xml:space="preserve">P0256       </t>
    </r>
    <r>
      <rPr>
        <sz val="12"/>
        <color theme="1"/>
        <rFont val="Calibri"/>
        <family val="2"/>
        <scheme val="minor"/>
      </rPr>
      <t>Injection Pump Fuel Metering Control "B" Malfunction (Cam/Rotor/Injector)</t>
    </r>
  </si>
  <si>
    <r>
      <t xml:space="preserve">P0257       </t>
    </r>
    <r>
      <rPr>
        <sz val="12"/>
        <color theme="1"/>
        <rFont val="Calibri"/>
        <family val="2"/>
        <scheme val="minor"/>
      </rPr>
      <t>Injection Pump Fuel Metering Control "B" Range/Performance (Cam/Rotor/Injector)</t>
    </r>
  </si>
  <si>
    <r>
      <t xml:space="preserve">P0258       </t>
    </r>
    <r>
      <rPr>
        <sz val="12"/>
        <color theme="1"/>
        <rFont val="Calibri"/>
        <family val="2"/>
        <scheme val="minor"/>
      </rPr>
      <t>Injection Pump Fuel Metering Control "B" Low (Cam/Rotor/Injector)</t>
    </r>
  </si>
  <si>
    <r>
      <t xml:space="preserve">P0259       </t>
    </r>
    <r>
      <rPr>
        <sz val="12"/>
        <color theme="1"/>
        <rFont val="Calibri"/>
        <family val="2"/>
        <scheme val="minor"/>
      </rPr>
      <t>Injection lump Fuel Metering Control "B" High (Cam/Rotor/Injector)</t>
    </r>
  </si>
  <si>
    <r>
      <t xml:space="preserve">P0260       </t>
    </r>
    <r>
      <rPr>
        <sz val="12"/>
        <color theme="1"/>
        <rFont val="Calibri"/>
        <family val="2"/>
        <scheme val="minor"/>
      </rPr>
      <t>Injection Pump Fuel Metering Control "B" Intermittent (Cam/Rotor/Injector)</t>
    </r>
  </si>
  <si>
    <r>
      <t xml:space="preserve">P0261       </t>
    </r>
    <r>
      <rPr>
        <sz val="12"/>
        <color theme="1"/>
        <rFont val="Calibri"/>
        <family val="2"/>
        <scheme val="minor"/>
      </rPr>
      <t>Cylinder 1 Injector Circuit Low</t>
    </r>
  </si>
  <si>
    <r>
      <t xml:space="preserve">P0262       </t>
    </r>
    <r>
      <rPr>
        <sz val="12"/>
        <color theme="1"/>
        <rFont val="Calibri"/>
        <family val="2"/>
        <scheme val="minor"/>
      </rPr>
      <t>Cylinder 1 Injector Circuit High</t>
    </r>
  </si>
  <si>
    <r>
      <t xml:space="preserve">P0263       </t>
    </r>
    <r>
      <rPr>
        <sz val="12"/>
        <color theme="1"/>
        <rFont val="Calibri"/>
        <family val="2"/>
        <scheme val="minor"/>
      </rPr>
      <t>Cylinder 1 Contribution/Balance Fault</t>
    </r>
  </si>
  <si>
    <r>
      <t xml:space="preserve">P0264       </t>
    </r>
    <r>
      <rPr>
        <sz val="12"/>
        <color theme="1"/>
        <rFont val="Calibri"/>
        <family val="2"/>
        <scheme val="minor"/>
      </rPr>
      <t>Cylinder 2 Injector Circuit Low</t>
    </r>
  </si>
  <si>
    <r>
      <t xml:space="preserve">P0265       </t>
    </r>
    <r>
      <rPr>
        <sz val="12"/>
        <color theme="1"/>
        <rFont val="Calibri"/>
        <family val="2"/>
        <scheme val="minor"/>
      </rPr>
      <t>Cylinder 2 Injector Circuit High</t>
    </r>
  </si>
  <si>
    <r>
      <t xml:space="preserve">P0266       </t>
    </r>
    <r>
      <rPr>
        <sz val="12"/>
        <color theme="1"/>
        <rFont val="Calibri"/>
        <family val="2"/>
        <scheme val="minor"/>
      </rPr>
      <t>Cylinder 2 Contribution/Balance Fault</t>
    </r>
  </si>
  <si>
    <r>
      <t xml:space="preserve">P0267       </t>
    </r>
    <r>
      <rPr>
        <sz val="12"/>
        <color theme="1"/>
        <rFont val="Calibri"/>
        <family val="2"/>
        <scheme val="minor"/>
      </rPr>
      <t>Cylinder 3 Injector Circuit Low</t>
    </r>
  </si>
  <si>
    <r>
      <t xml:space="preserve">P0268       </t>
    </r>
    <r>
      <rPr>
        <sz val="12"/>
        <color theme="1"/>
        <rFont val="Calibri"/>
        <family val="2"/>
        <scheme val="minor"/>
      </rPr>
      <t>Cylinder 3 Injector Circuit High</t>
    </r>
  </si>
  <si>
    <r>
      <t xml:space="preserve">P0269       </t>
    </r>
    <r>
      <rPr>
        <sz val="12"/>
        <color theme="1"/>
        <rFont val="Calibri"/>
        <family val="2"/>
        <scheme val="minor"/>
      </rPr>
      <t>Cylinder 3 Contribution/Balance Fault</t>
    </r>
  </si>
  <si>
    <r>
      <t xml:space="preserve">P0270       </t>
    </r>
    <r>
      <rPr>
        <sz val="12"/>
        <color theme="1"/>
        <rFont val="Calibri"/>
        <family val="2"/>
        <scheme val="minor"/>
      </rPr>
      <t>Cylinder 4 Injector Circuit Low</t>
    </r>
  </si>
  <si>
    <r>
      <t xml:space="preserve">P0271       </t>
    </r>
    <r>
      <rPr>
        <sz val="12"/>
        <color theme="1"/>
        <rFont val="Calibri"/>
        <family val="2"/>
        <scheme val="minor"/>
      </rPr>
      <t>Cylinder 4 Injector Circuit High</t>
    </r>
  </si>
  <si>
    <r>
      <t xml:space="preserve">P0272       </t>
    </r>
    <r>
      <rPr>
        <sz val="12"/>
        <color theme="1"/>
        <rFont val="Calibri"/>
        <family val="2"/>
        <scheme val="minor"/>
      </rPr>
      <t>Cylinder 4 Contribution/Balance Fault</t>
    </r>
  </si>
  <si>
    <r>
      <t xml:space="preserve">P0273       </t>
    </r>
    <r>
      <rPr>
        <sz val="12"/>
        <color theme="1"/>
        <rFont val="Calibri"/>
        <family val="2"/>
        <scheme val="minor"/>
      </rPr>
      <t>Cylinder 5 Injector Circuit Low</t>
    </r>
  </si>
  <si>
    <r>
      <t xml:space="preserve">P0274       </t>
    </r>
    <r>
      <rPr>
        <sz val="12"/>
        <color theme="1"/>
        <rFont val="Calibri"/>
        <family val="2"/>
        <scheme val="minor"/>
      </rPr>
      <t>Cylinder 5 Injector Circuit High</t>
    </r>
  </si>
  <si>
    <r>
      <t xml:space="preserve">P0275       </t>
    </r>
    <r>
      <rPr>
        <sz val="12"/>
        <color theme="1"/>
        <rFont val="Calibri"/>
        <family val="2"/>
        <scheme val="minor"/>
      </rPr>
      <t>Cylinder 5 Contribution/Balance Fault</t>
    </r>
  </si>
  <si>
    <r>
      <t xml:space="preserve">P0276       </t>
    </r>
    <r>
      <rPr>
        <sz val="12"/>
        <color theme="1"/>
        <rFont val="Calibri"/>
        <family val="2"/>
        <scheme val="minor"/>
      </rPr>
      <t>Cylinder 6 Injector Circuit Low</t>
    </r>
  </si>
  <si>
    <r>
      <t xml:space="preserve">P0277       </t>
    </r>
    <r>
      <rPr>
        <sz val="12"/>
        <color theme="1"/>
        <rFont val="Calibri"/>
        <family val="2"/>
        <scheme val="minor"/>
      </rPr>
      <t>Cylinder 6 Injector Circuit High</t>
    </r>
  </si>
  <si>
    <r>
      <t xml:space="preserve">P0278       </t>
    </r>
    <r>
      <rPr>
        <sz val="12"/>
        <color theme="1"/>
        <rFont val="Calibri"/>
        <family val="2"/>
        <scheme val="minor"/>
      </rPr>
      <t>Cylinder 6 Contribution/Balance Fault</t>
    </r>
  </si>
  <si>
    <r>
      <t xml:space="preserve">P0279       </t>
    </r>
    <r>
      <rPr>
        <sz val="12"/>
        <color theme="1"/>
        <rFont val="Calibri"/>
        <family val="2"/>
        <scheme val="minor"/>
      </rPr>
      <t>Cylinder 7 Injector Circuit Low</t>
    </r>
  </si>
  <si>
    <r>
      <t xml:space="preserve">P0280       </t>
    </r>
    <r>
      <rPr>
        <sz val="12"/>
        <color theme="1"/>
        <rFont val="Calibri"/>
        <family val="2"/>
        <scheme val="minor"/>
      </rPr>
      <t>Cylinder 7 Injector Circuit High</t>
    </r>
  </si>
  <si>
    <r>
      <t xml:space="preserve">P0281       </t>
    </r>
    <r>
      <rPr>
        <sz val="12"/>
        <color theme="1"/>
        <rFont val="Calibri"/>
        <family val="2"/>
        <scheme val="minor"/>
      </rPr>
      <t>Cylinder 7 Contribution/Balance Fault</t>
    </r>
  </si>
  <si>
    <r>
      <t xml:space="preserve">P0282       </t>
    </r>
    <r>
      <rPr>
        <sz val="12"/>
        <color theme="1"/>
        <rFont val="Calibri"/>
        <family val="2"/>
        <scheme val="minor"/>
      </rPr>
      <t>Cylinder 8 Injector Circuit Low</t>
    </r>
  </si>
  <si>
    <r>
      <t xml:space="preserve">P0283       </t>
    </r>
    <r>
      <rPr>
        <sz val="12"/>
        <color theme="1"/>
        <rFont val="Calibri"/>
        <family val="2"/>
        <scheme val="minor"/>
      </rPr>
      <t>Cylinder 8 Injector Circuit High</t>
    </r>
  </si>
  <si>
    <r>
      <t xml:space="preserve">P0284       </t>
    </r>
    <r>
      <rPr>
        <sz val="12"/>
        <color theme="1"/>
        <rFont val="Calibri"/>
        <family val="2"/>
        <scheme val="minor"/>
      </rPr>
      <t>Cylinder 8 Contribution/Balance Fault</t>
    </r>
  </si>
  <si>
    <r>
      <t xml:space="preserve">P0285       </t>
    </r>
    <r>
      <rPr>
        <sz val="12"/>
        <color theme="1"/>
        <rFont val="Calibri"/>
        <family val="2"/>
        <scheme val="minor"/>
      </rPr>
      <t>Cylinder 9 Injector Circuit Low</t>
    </r>
  </si>
  <si>
    <r>
      <t xml:space="preserve">P0286       </t>
    </r>
    <r>
      <rPr>
        <sz val="12"/>
        <color theme="1"/>
        <rFont val="Calibri"/>
        <family val="2"/>
        <scheme val="minor"/>
      </rPr>
      <t>Cylinder 9 Injector Circuit High</t>
    </r>
  </si>
  <si>
    <r>
      <t xml:space="preserve">P0287       </t>
    </r>
    <r>
      <rPr>
        <sz val="12"/>
        <color theme="1"/>
        <rFont val="Calibri"/>
        <family val="2"/>
        <scheme val="minor"/>
      </rPr>
      <t>Cylinder 9 Contribution/Balance Fault</t>
    </r>
  </si>
  <si>
    <r>
      <t xml:space="preserve">P0288       </t>
    </r>
    <r>
      <rPr>
        <sz val="12"/>
        <color theme="1"/>
        <rFont val="Calibri"/>
        <family val="2"/>
        <scheme val="minor"/>
      </rPr>
      <t>Cylinder 10 Injector Circuit Low</t>
    </r>
  </si>
  <si>
    <r>
      <t xml:space="preserve">P0289       </t>
    </r>
    <r>
      <rPr>
        <sz val="12"/>
        <color theme="1"/>
        <rFont val="Calibri"/>
        <family val="2"/>
        <scheme val="minor"/>
      </rPr>
      <t>Cylinder 10 Injector Circuit High</t>
    </r>
  </si>
  <si>
    <r>
      <t xml:space="preserve">P0290       </t>
    </r>
    <r>
      <rPr>
        <sz val="12"/>
        <color theme="1"/>
        <rFont val="Calibri"/>
        <family val="2"/>
        <scheme val="minor"/>
      </rPr>
      <t>Cylinder 10 Contribution/balance Fault</t>
    </r>
  </si>
  <si>
    <r>
      <t xml:space="preserve">P0291       </t>
    </r>
    <r>
      <rPr>
        <sz val="12"/>
        <color theme="1"/>
        <rFont val="Calibri"/>
        <family val="2"/>
        <scheme val="minor"/>
      </rPr>
      <t>Cylinder 11 Injector Circuit Low</t>
    </r>
  </si>
  <si>
    <r>
      <t xml:space="preserve">P0292       </t>
    </r>
    <r>
      <rPr>
        <sz val="12"/>
        <color theme="1"/>
        <rFont val="Calibri"/>
        <family val="2"/>
        <scheme val="minor"/>
      </rPr>
      <t>Cylinder 11 Injector Circuit High</t>
    </r>
  </si>
  <si>
    <r>
      <t xml:space="preserve">P0293       </t>
    </r>
    <r>
      <rPr>
        <sz val="12"/>
        <color theme="1"/>
        <rFont val="Calibri"/>
        <family val="2"/>
        <scheme val="minor"/>
      </rPr>
      <t>Cylinder 11 Contribution/balance Fault</t>
    </r>
  </si>
  <si>
    <r>
      <t xml:space="preserve">P0294       </t>
    </r>
    <r>
      <rPr>
        <sz val="12"/>
        <color theme="1"/>
        <rFont val="Calibri"/>
        <family val="2"/>
        <scheme val="minor"/>
      </rPr>
      <t>Cylinder 12 Injector Circuit Low</t>
    </r>
  </si>
  <si>
    <r>
      <t xml:space="preserve">P0295       </t>
    </r>
    <r>
      <rPr>
        <sz val="12"/>
        <color theme="1"/>
        <rFont val="Calibri"/>
        <family val="2"/>
        <scheme val="minor"/>
      </rPr>
      <t>Cylinder 12 Injector Circuit High</t>
    </r>
  </si>
  <si>
    <r>
      <t xml:space="preserve">P0296       </t>
    </r>
    <r>
      <rPr>
        <sz val="12"/>
        <color theme="1"/>
        <rFont val="Calibri"/>
        <family val="2"/>
        <scheme val="minor"/>
      </rPr>
      <t>Cylinder 12 Contribution/Balance Fault</t>
    </r>
  </si>
  <si>
    <t>Related to: Ignition System and Misfire Detection</t>
  </si>
  <si>
    <r>
      <t xml:space="preserve">P0320       </t>
    </r>
    <r>
      <rPr>
        <sz val="12"/>
        <color theme="1"/>
        <rFont val="Calibri"/>
        <family val="2"/>
        <scheme val="minor"/>
      </rPr>
      <t>Ignition/Distributor Engine Speed Input Circuit Malfunction</t>
    </r>
  </si>
  <si>
    <r>
      <t xml:space="preserve">P0321       </t>
    </r>
    <r>
      <rPr>
        <sz val="12"/>
        <color theme="1"/>
        <rFont val="Calibri"/>
        <family val="2"/>
        <scheme val="minor"/>
      </rPr>
      <t>Ignition/Distributor Engine Speed Input Circuit Range/Performance</t>
    </r>
  </si>
  <si>
    <r>
      <t xml:space="preserve">P0322       </t>
    </r>
    <r>
      <rPr>
        <sz val="12"/>
        <color theme="1"/>
        <rFont val="Calibri"/>
        <family val="2"/>
        <scheme val="minor"/>
      </rPr>
      <t>Ignition/Distributor Engine Speed Input Circuit No Signal</t>
    </r>
  </si>
  <si>
    <r>
      <t xml:space="preserve">P0323       </t>
    </r>
    <r>
      <rPr>
        <sz val="12"/>
        <color theme="1"/>
        <rFont val="Calibri"/>
        <family val="2"/>
        <scheme val="minor"/>
      </rPr>
      <t>Ignition/Distributor Engine Speed Input Circuit Intermittent</t>
    </r>
  </si>
  <si>
    <r>
      <t xml:space="preserve">P0335       </t>
    </r>
    <r>
      <rPr>
        <sz val="12"/>
        <color theme="1"/>
        <rFont val="Calibri"/>
        <family val="2"/>
        <scheme val="minor"/>
      </rPr>
      <t>Crankshaft Position Sensor A Circuit Malfunction</t>
    </r>
  </si>
  <si>
    <r>
      <t xml:space="preserve">P0336       </t>
    </r>
    <r>
      <rPr>
        <sz val="12"/>
        <color theme="1"/>
        <rFont val="Calibri"/>
        <family val="2"/>
        <scheme val="minor"/>
      </rPr>
      <t>Crankshaft Position Sensor A Circuit Range/Performance</t>
    </r>
  </si>
  <si>
    <r>
      <t xml:space="preserve">P0370       </t>
    </r>
    <r>
      <rPr>
        <sz val="12"/>
        <color theme="1"/>
        <rFont val="Calibri"/>
        <family val="2"/>
        <scheme val="minor"/>
      </rPr>
      <t>Timing Reference High Resolution Signal A Malfunction</t>
    </r>
  </si>
  <si>
    <r>
      <t xml:space="preserve">P0371       </t>
    </r>
    <r>
      <rPr>
        <sz val="12"/>
        <color theme="1"/>
        <rFont val="Calibri"/>
        <family val="2"/>
        <scheme val="minor"/>
      </rPr>
      <t>Timing Reference High Resolution Signal A Too Many Pulses</t>
    </r>
  </si>
  <si>
    <r>
      <t xml:space="preserve">P0372       </t>
    </r>
    <r>
      <rPr>
        <sz val="12"/>
        <color theme="1"/>
        <rFont val="Calibri"/>
        <family val="2"/>
        <scheme val="minor"/>
      </rPr>
      <t>Timing Reference High Resolution Signal A Too Few Pulses</t>
    </r>
  </si>
  <si>
    <r>
      <t xml:space="preserve">P0373       </t>
    </r>
    <r>
      <rPr>
        <sz val="12"/>
        <color theme="1"/>
        <rFont val="Calibri"/>
        <family val="2"/>
        <scheme val="minor"/>
      </rPr>
      <t>Timing Reference High Resolution Signal A Intermittent/Erratic Pulses</t>
    </r>
  </si>
  <si>
    <r>
      <t xml:space="preserve">P0374       </t>
    </r>
    <r>
      <rPr>
        <sz val="12"/>
        <color theme="1"/>
        <rFont val="Calibri"/>
        <family val="2"/>
        <scheme val="minor"/>
      </rPr>
      <t>Timing Reference High Resolution Signal A No Pulses</t>
    </r>
  </si>
  <si>
    <r>
      <t xml:space="preserve">P0375       </t>
    </r>
    <r>
      <rPr>
        <sz val="12"/>
        <color theme="1"/>
        <rFont val="Calibri"/>
        <family val="2"/>
        <scheme val="minor"/>
      </rPr>
      <t>Timing Reference High Resolution Signal B Malfunction</t>
    </r>
  </si>
  <si>
    <r>
      <t xml:space="preserve">P0376       </t>
    </r>
    <r>
      <rPr>
        <sz val="12"/>
        <color theme="1"/>
        <rFont val="Calibri"/>
        <family val="2"/>
        <scheme val="minor"/>
      </rPr>
      <t>Timing Reference High Resolution Signal B Too Many Pulses</t>
    </r>
  </si>
  <si>
    <r>
      <t xml:space="preserve">P0377       </t>
    </r>
    <r>
      <rPr>
        <sz val="12"/>
        <color theme="1"/>
        <rFont val="Calibri"/>
        <family val="2"/>
        <scheme val="minor"/>
      </rPr>
      <t>Timing Reference High Resolution Signal B Too Few Pulses</t>
    </r>
  </si>
  <si>
    <r>
      <t xml:space="preserve">P0378       </t>
    </r>
    <r>
      <rPr>
        <sz val="12"/>
        <color theme="1"/>
        <rFont val="Calibri"/>
        <family val="2"/>
        <scheme val="minor"/>
      </rPr>
      <t>Timing Reference High Resolution Signal B Intermittent/Erratic Pulses</t>
    </r>
  </si>
  <si>
    <r>
      <t xml:space="preserve">P0379       </t>
    </r>
    <r>
      <rPr>
        <sz val="12"/>
        <color theme="1"/>
        <rFont val="Calibri"/>
        <family val="2"/>
        <scheme val="minor"/>
      </rPr>
      <t>Timing Reference High Resolution Signal B No Pulses</t>
    </r>
  </si>
  <si>
    <t>Related to: Auxilliary Emission Controls. EGR, EVAP etc.</t>
  </si>
  <si>
    <r>
      <t xml:space="preserve">P0480       </t>
    </r>
    <r>
      <rPr>
        <sz val="12"/>
        <color theme="1"/>
        <rFont val="Calibri"/>
        <family val="2"/>
        <scheme val="minor"/>
      </rPr>
      <t>Cooling Fan 1 Control Circuit Malfunction</t>
    </r>
  </si>
  <si>
    <r>
      <t xml:space="preserve">P0481       </t>
    </r>
    <r>
      <rPr>
        <sz val="12"/>
        <color theme="1"/>
        <rFont val="Calibri"/>
        <family val="2"/>
        <scheme val="minor"/>
      </rPr>
      <t>Cooling Fan 2 Control Circuit Malfunction</t>
    </r>
  </si>
  <si>
    <r>
      <t xml:space="preserve">P0482       </t>
    </r>
    <r>
      <rPr>
        <sz val="12"/>
        <color theme="1"/>
        <rFont val="Calibri"/>
        <family val="2"/>
        <scheme val="minor"/>
      </rPr>
      <t>Cooling Fan 3 Control Circuit Malfunction</t>
    </r>
  </si>
  <si>
    <r>
      <t xml:space="preserve">P0483       </t>
    </r>
    <r>
      <rPr>
        <sz val="12"/>
        <color theme="1"/>
        <rFont val="Calibri"/>
        <family val="2"/>
        <scheme val="minor"/>
      </rPr>
      <t>Cooling Fan Rationality Check Malfunction</t>
    </r>
  </si>
  <si>
    <r>
      <t xml:space="preserve">P0484       </t>
    </r>
    <r>
      <rPr>
        <sz val="12"/>
        <color theme="1"/>
        <rFont val="Calibri"/>
        <family val="2"/>
        <scheme val="minor"/>
      </rPr>
      <t>Cooling Fan Circuit Over Current</t>
    </r>
  </si>
  <si>
    <r>
      <t xml:space="preserve">P0485       </t>
    </r>
    <r>
      <rPr>
        <sz val="12"/>
        <color theme="1"/>
        <rFont val="Calibri"/>
        <family val="2"/>
        <scheme val="minor"/>
      </rPr>
      <t>Cooling Fan Power/Ground Circuit Malfunction</t>
    </r>
  </si>
  <si>
    <t>Related to: Vehicle Speed, Idle Control, and Auxiliary Inputs</t>
  </si>
  <si>
    <r>
      <t xml:space="preserve">P0500       </t>
    </r>
    <r>
      <rPr>
        <sz val="12"/>
        <color theme="1"/>
        <rFont val="Calibri"/>
        <family val="2"/>
        <scheme val="minor"/>
      </rPr>
      <t>Vehicle Speed Sensor Malfunction</t>
    </r>
  </si>
  <si>
    <r>
      <t xml:space="preserve">P0501       </t>
    </r>
    <r>
      <rPr>
        <sz val="12"/>
        <color theme="1"/>
        <rFont val="Calibri"/>
        <family val="2"/>
        <scheme val="minor"/>
      </rPr>
      <t>Vehicle Speed Sensor Range/Performance</t>
    </r>
  </si>
  <si>
    <r>
      <t xml:space="preserve">P0502       </t>
    </r>
    <r>
      <rPr>
        <sz val="12"/>
        <color theme="1"/>
        <rFont val="Calibri"/>
        <family val="2"/>
        <scheme val="minor"/>
      </rPr>
      <t>Vehicle Speed Sensor Circuit Low Input</t>
    </r>
  </si>
  <si>
    <r>
      <t xml:space="preserve">P0503       </t>
    </r>
    <r>
      <rPr>
        <sz val="12"/>
        <color theme="1"/>
        <rFont val="Calibri"/>
        <family val="2"/>
        <scheme val="minor"/>
      </rPr>
      <t>Vehicle Speed Sensor Intermittent/Erratic/High</t>
    </r>
  </si>
  <si>
    <r>
      <t xml:space="preserve">P0505       </t>
    </r>
    <r>
      <rPr>
        <sz val="12"/>
        <color theme="1"/>
        <rFont val="Calibri"/>
        <family val="2"/>
        <scheme val="minor"/>
      </rPr>
      <t>Idle Control System Malfunction</t>
    </r>
  </si>
  <si>
    <r>
      <t xml:space="preserve">P0506       </t>
    </r>
    <r>
      <rPr>
        <sz val="12"/>
        <color theme="1"/>
        <rFont val="Calibri"/>
        <family val="2"/>
        <scheme val="minor"/>
      </rPr>
      <t>Idle Control System RPM lower Than Expected</t>
    </r>
  </si>
  <si>
    <r>
      <t xml:space="preserve">P0507       </t>
    </r>
    <r>
      <rPr>
        <sz val="12"/>
        <color theme="1"/>
        <rFont val="Calibri"/>
        <family val="2"/>
        <scheme val="minor"/>
      </rPr>
      <t>Idle Control System RPM higher Than Expected</t>
    </r>
  </si>
  <si>
    <r>
      <t xml:space="preserve">P0510       </t>
    </r>
    <r>
      <rPr>
        <sz val="12"/>
        <color theme="1"/>
        <rFont val="Calibri"/>
        <family val="2"/>
        <scheme val="minor"/>
      </rPr>
      <t>Closed Throttle Position Switch Malfunction</t>
    </r>
  </si>
  <si>
    <r>
      <t xml:space="preserve">P0520       </t>
    </r>
    <r>
      <rPr>
        <sz val="12"/>
        <color theme="1"/>
        <rFont val="Calibri"/>
        <family val="2"/>
        <scheme val="minor"/>
      </rPr>
      <t>Engine Oil Pressure Sensor/Switch Circuit Malfunction</t>
    </r>
  </si>
  <si>
    <r>
      <t xml:space="preserve">P0521       </t>
    </r>
    <r>
      <rPr>
        <sz val="12"/>
        <color theme="1"/>
        <rFont val="Calibri"/>
        <family val="2"/>
        <scheme val="minor"/>
      </rPr>
      <t>Engine Oil Pressure Sensor/Switch Range/Performance</t>
    </r>
  </si>
  <si>
    <r>
      <t xml:space="preserve">P0522       </t>
    </r>
    <r>
      <rPr>
        <sz val="12"/>
        <color theme="1"/>
        <rFont val="Calibri"/>
        <family val="2"/>
        <scheme val="minor"/>
      </rPr>
      <t>Engine Oil Pressure Sensor/Switch Low Voltage</t>
    </r>
  </si>
  <si>
    <r>
      <t xml:space="preserve">P0523       </t>
    </r>
    <r>
      <rPr>
        <sz val="12"/>
        <color theme="1"/>
        <rFont val="Calibri"/>
        <family val="2"/>
        <scheme val="minor"/>
      </rPr>
      <t>Engine Oil Pressure Sensor/Switch High Voltage</t>
    </r>
  </si>
  <si>
    <r>
      <t xml:space="preserve">P0560       </t>
    </r>
    <r>
      <rPr>
        <sz val="12"/>
        <color theme="1"/>
        <rFont val="Calibri"/>
        <family val="2"/>
        <scheme val="minor"/>
      </rPr>
      <t>System Voltage Malfunction</t>
    </r>
  </si>
  <si>
    <r>
      <t xml:space="preserve">P0561       </t>
    </r>
    <r>
      <rPr>
        <sz val="12"/>
        <color theme="1"/>
        <rFont val="Calibri"/>
        <family val="2"/>
        <scheme val="minor"/>
      </rPr>
      <t>System Voltage Unstable</t>
    </r>
  </si>
  <si>
    <r>
      <t xml:space="preserve">P0562       </t>
    </r>
    <r>
      <rPr>
        <sz val="12"/>
        <color theme="1"/>
        <rFont val="Calibri"/>
        <family val="2"/>
        <scheme val="minor"/>
      </rPr>
      <t>System Voltage Low</t>
    </r>
  </si>
  <si>
    <r>
      <t xml:space="preserve">P0563       </t>
    </r>
    <r>
      <rPr>
        <sz val="12"/>
        <color theme="1"/>
        <rFont val="Calibri"/>
        <family val="2"/>
        <scheme val="minor"/>
      </rPr>
      <t>System Voltage High</t>
    </r>
  </si>
  <si>
    <t>Related to: Computer and Auxiliary Outputs</t>
  </si>
  <si>
    <r>
      <t xml:space="preserve">P0650       </t>
    </r>
    <r>
      <rPr>
        <sz val="12"/>
        <color theme="1"/>
        <rFont val="Calibri"/>
        <family val="2"/>
        <scheme val="minor"/>
      </rPr>
      <t>Malfunction Indicator Lamp (MIL) Control Circuit Malfunction</t>
    </r>
  </si>
  <si>
    <r>
      <t xml:space="preserve">P0654       </t>
    </r>
    <r>
      <rPr>
        <sz val="12"/>
        <color theme="1"/>
        <rFont val="Calibri"/>
        <family val="2"/>
        <scheme val="minor"/>
      </rPr>
      <t>Engine RPM Output Circuit Malfunction</t>
    </r>
  </si>
  <si>
    <t>Other:</t>
  </si>
  <si>
    <r>
      <t xml:space="preserve">P1109       </t>
    </r>
    <r>
      <rPr>
        <sz val="12"/>
        <color theme="1"/>
        <rFont val="Calibri"/>
        <family val="2"/>
        <scheme val="minor"/>
      </rPr>
      <t>IAT - B Sensor Intermittent</t>
    </r>
  </si>
  <si>
    <r>
      <t xml:space="preserve">P1110       </t>
    </r>
    <r>
      <rPr>
        <sz val="12"/>
        <color theme="1"/>
        <rFont val="Calibri"/>
        <family val="2"/>
        <scheme val="minor"/>
      </rPr>
      <t>IAT Sensor (D/C) Open/Short</t>
    </r>
  </si>
  <si>
    <r>
      <t xml:space="preserve">P1111       </t>
    </r>
    <r>
      <rPr>
        <sz val="12"/>
        <color theme="1"/>
        <rFont val="Calibri"/>
        <family val="2"/>
        <scheme val="minor"/>
      </rPr>
      <t>Intake Air Temperature (IAT) Sensor Circuit Intermittent High Voltage</t>
    </r>
  </si>
  <si>
    <r>
      <t xml:space="preserve">P1112       </t>
    </r>
    <r>
      <rPr>
        <sz val="12"/>
        <color theme="1"/>
        <rFont val="Calibri"/>
        <family val="2"/>
        <scheme val="minor"/>
      </rPr>
      <t>Intake Air Temperature (IAT) Sensor Circuit Intermittent Low Voltage</t>
    </r>
  </si>
  <si>
    <r>
      <t xml:space="preserve">P1113       </t>
    </r>
    <r>
      <rPr>
        <sz val="12"/>
        <color theme="1"/>
        <rFont val="Calibri"/>
        <family val="2"/>
        <scheme val="minor"/>
      </rPr>
      <t>IAT Sensor Open/Short</t>
    </r>
  </si>
  <si>
    <r>
      <t xml:space="preserve">P1114       </t>
    </r>
    <r>
      <rPr>
        <sz val="12"/>
        <color theme="1"/>
        <rFont val="Calibri"/>
        <family val="2"/>
        <scheme val="minor"/>
      </rPr>
      <t>Engine Coolant Temperature (ECT) Sensor Circuit Intermittent Low Voltage/IAT - B Circuit Low Input</t>
    </r>
  </si>
  <si>
    <r>
      <t xml:space="preserve">P1115       </t>
    </r>
    <r>
      <rPr>
        <sz val="12"/>
        <color theme="1"/>
        <rFont val="Calibri"/>
        <family val="2"/>
        <scheme val="minor"/>
      </rPr>
      <t>Engine Coolant Temperature (ECT) Sensor Circuit Intermittent High Voltage/IAT - B Circuit High Input</t>
    </r>
  </si>
  <si>
    <r>
      <t xml:space="preserve">P1116       </t>
    </r>
    <r>
      <rPr>
        <sz val="12"/>
        <color theme="1"/>
        <rFont val="Calibri"/>
        <family val="2"/>
        <scheme val="minor"/>
      </rPr>
      <t>Engine Coolant sensor out of range/ECT Sensor Out Of Self Test Range</t>
    </r>
  </si>
  <si>
    <r>
      <t xml:space="preserve">P1117       </t>
    </r>
    <r>
      <rPr>
        <sz val="12"/>
        <color theme="1"/>
        <rFont val="Calibri"/>
        <family val="2"/>
        <scheme val="minor"/>
      </rPr>
      <t>Engine Coolant Sensor intermittent/ECT Sensor Intermittent</t>
    </r>
  </si>
  <si>
    <r>
      <t xml:space="preserve">P1118       </t>
    </r>
    <r>
      <rPr>
        <sz val="12"/>
        <color theme="1"/>
        <rFont val="Calibri"/>
        <family val="2"/>
        <scheme val="minor"/>
      </rPr>
      <t>Manifold Absolute Temperature Circuit Low Input</t>
    </r>
  </si>
  <si>
    <r>
      <t xml:space="preserve">P1119       </t>
    </r>
    <r>
      <rPr>
        <sz val="12"/>
        <color theme="1"/>
        <rFont val="Calibri"/>
        <family val="2"/>
        <scheme val="minor"/>
      </rPr>
      <t>Manifold Absolute Temperature Circuit High Input</t>
    </r>
  </si>
  <si>
    <r>
      <t xml:space="preserve">P1120       </t>
    </r>
    <r>
      <rPr>
        <sz val="12"/>
        <color theme="1"/>
        <rFont val="Calibri"/>
        <family val="2"/>
        <scheme val="minor"/>
      </rPr>
      <t>Throttle position sensor out of range</t>
    </r>
  </si>
  <si>
    <r>
      <t xml:space="preserve">P1121       </t>
    </r>
    <r>
      <rPr>
        <sz val="12"/>
        <color theme="1"/>
        <rFont val="Calibri"/>
        <family val="2"/>
        <scheme val="minor"/>
      </rPr>
      <t>Throttle Position (TP) Sensor Circuit Intermittent High Voltage</t>
    </r>
  </si>
  <si>
    <r>
      <t xml:space="preserve">P1122       </t>
    </r>
    <r>
      <rPr>
        <sz val="12"/>
        <color theme="1"/>
        <rFont val="Calibri"/>
        <family val="2"/>
        <scheme val="minor"/>
      </rPr>
      <t>Throttle Position (TP) Sensor Circuit Intermittent Low Voltage</t>
    </r>
  </si>
  <si>
    <r>
      <t xml:space="preserve">P1123       </t>
    </r>
    <r>
      <rPr>
        <sz val="12"/>
        <color theme="1"/>
        <rFont val="Calibri"/>
        <family val="2"/>
        <scheme val="minor"/>
      </rPr>
      <t>Throttle Position Sensor In Range But Higher Than Expected</t>
    </r>
  </si>
  <si>
    <r>
      <t xml:space="preserve">P1124       </t>
    </r>
    <r>
      <rPr>
        <sz val="12"/>
        <color theme="1"/>
        <rFont val="Calibri"/>
        <family val="2"/>
        <scheme val="minor"/>
      </rPr>
      <t>Throttle Position Sensor Out Of Self Test Range</t>
    </r>
  </si>
  <si>
    <r>
      <t xml:space="preserve">P1125       </t>
    </r>
    <r>
      <rPr>
        <sz val="12"/>
        <color theme="1"/>
        <rFont val="Calibri"/>
        <family val="2"/>
        <scheme val="minor"/>
      </rPr>
      <t>Throttle position sensor intermittent</t>
    </r>
  </si>
  <si>
    <r>
      <t xml:space="preserve">P1126       </t>
    </r>
    <r>
      <rPr>
        <sz val="12"/>
        <color theme="1"/>
        <rFont val="Calibri"/>
        <family val="2"/>
        <scheme val="minor"/>
      </rPr>
      <t>Throttle Position (Narrow Range) Sensor Circuit Malfunction</t>
    </r>
  </si>
  <si>
    <r>
      <t xml:space="preserve">P1127       </t>
    </r>
    <r>
      <rPr>
        <sz val="12"/>
        <color theme="1"/>
        <rFont val="Calibri"/>
        <family val="2"/>
        <scheme val="minor"/>
      </rPr>
      <t>Exhaust Not Warm, Downstream O2 Sensor</t>
    </r>
  </si>
  <si>
    <r>
      <t xml:space="preserve">P1128       </t>
    </r>
    <r>
      <rPr>
        <sz val="12"/>
        <color theme="1"/>
        <rFont val="Calibri"/>
        <family val="2"/>
        <scheme val="minor"/>
      </rPr>
      <t>Upstream Heated O2 Sensors Swapped</t>
    </r>
  </si>
  <si>
    <r>
      <t xml:space="preserve">P1129       </t>
    </r>
    <r>
      <rPr>
        <sz val="12"/>
        <color theme="1"/>
        <rFont val="Calibri"/>
        <family val="2"/>
        <scheme val="minor"/>
      </rPr>
      <t>Downstream Heated O2 Sensors Swapped</t>
    </r>
  </si>
  <si>
    <r>
      <t xml:space="preserve">P1130       </t>
    </r>
    <r>
      <rPr>
        <sz val="12"/>
        <color theme="1"/>
        <rFont val="Calibri"/>
        <family val="2"/>
        <scheme val="minor"/>
      </rPr>
      <t>Lack Of HO2S Switch - Adaptive Fuel At Limit</t>
    </r>
  </si>
  <si>
    <r>
      <t xml:space="preserve">P1131       </t>
    </r>
    <r>
      <rPr>
        <sz val="12"/>
        <color theme="1"/>
        <rFont val="Calibri"/>
        <family val="2"/>
        <scheme val="minor"/>
      </rPr>
      <t>Lack Of HO2S Switch - Sensor Indicates Lean</t>
    </r>
  </si>
  <si>
    <r>
      <t xml:space="preserve">P1132       </t>
    </r>
    <r>
      <rPr>
        <sz val="12"/>
        <color theme="1"/>
        <rFont val="Calibri"/>
        <family val="2"/>
        <scheme val="minor"/>
      </rPr>
      <t>Lack Of HO2S Switch - Sensor Indicates Rich</t>
    </r>
  </si>
  <si>
    <r>
      <t xml:space="preserve">P1133       </t>
    </r>
    <r>
      <rPr>
        <sz val="12"/>
        <color theme="1"/>
        <rFont val="Calibri"/>
        <family val="2"/>
        <scheme val="minor"/>
      </rPr>
      <t>HO2S Insufficient Switching Sensor 1</t>
    </r>
  </si>
  <si>
    <r>
      <t xml:space="preserve">P1134       </t>
    </r>
    <r>
      <rPr>
        <sz val="12"/>
        <color theme="1"/>
        <rFont val="Calibri"/>
        <family val="2"/>
        <scheme val="minor"/>
      </rPr>
      <t>HO2S Transition Time Ratio Sensor 1</t>
    </r>
  </si>
  <si>
    <r>
      <t xml:space="preserve">P1135       </t>
    </r>
    <r>
      <rPr>
        <sz val="12"/>
        <color theme="1"/>
        <rFont val="Calibri"/>
        <family val="2"/>
        <scheme val="minor"/>
      </rPr>
      <t>Pedal Position Sensor A Circuit Intermittent</t>
    </r>
  </si>
  <si>
    <r>
      <t xml:space="preserve">P1136       </t>
    </r>
    <r>
      <rPr>
        <sz val="12"/>
        <color theme="1"/>
        <rFont val="Calibri"/>
        <family val="2"/>
        <scheme val="minor"/>
      </rPr>
      <t>Fan Control Circuit Malfunction</t>
    </r>
  </si>
  <si>
    <r>
      <t xml:space="preserve">P1137       </t>
    </r>
    <r>
      <rPr>
        <sz val="12"/>
        <color theme="1"/>
        <rFont val="Calibri"/>
        <family val="2"/>
        <scheme val="minor"/>
      </rPr>
      <t>Lack Of HO2S Switch - Sensor Indicates Lean</t>
    </r>
  </si>
  <si>
    <r>
      <t xml:space="preserve">P1138       </t>
    </r>
    <r>
      <rPr>
        <sz val="12"/>
        <color theme="1"/>
        <rFont val="Calibri"/>
        <family val="2"/>
        <scheme val="minor"/>
      </rPr>
      <t>Lack Of HO2S12 Switch - Sensor Indicates Rich</t>
    </r>
  </si>
  <si>
    <r>
      <t xml:space="preserve">P1139       </t>
    </r>
    <r>
      <rPr>
        <sz val="12"/>
        <color theme="1"/>
        <rFont val="Calibri"/>
        <family val="2"/>
        <scheme val="minor"/>
      </rPr>
      <t>Water In Fuel Indicator Circuit Malfunction</t>
    </r>
  </si>
  <si>
    <r>
      <t xml:space="preserve">P1140       </t>
    </r>
    <r>
      <rPr>
        <sz val="12"/>
        <color theme="1"/>
        <rFont val="Calibri"/>
        <family val="2"/>
        <scheme val="minor"/>
      </rPr>
      <t>Water In Fuel Condition</t>
    </r>
  </si>
  <si>
    <r>
      <t xml:space="preserve">P1141       </t>
    </r>
    <r>
      <rPr>
        <sz val="12"/>
        <color theme="1"/>
        <rFont val="Calibri"/>
        <family val="2"/>
        <scheme val="minor"/>
      </rPr>
      <t>Fuel Restriction Indicator Circuit Malfunction</t>
    </r>
  </si>
  <si>
    <r>
      <t xml:space="preserve">P1142       </t>
    </r>
    <r>
      <rPr>
        <sz val="12"/>
        <color theme="1"/>
        <rFont val="Calibri"/>
        <family val="2"/>
        <scheme val="minor"/>
      </rPr>
      <t>Fuel Restriction Condition</t>
    </r>
  </si>
  <si>
    <r>
      <t xml:space="preserve">P1143       </t>
    </r>
    <r>
      <rPr>
        <sz val="12"/>
        <color theme="1"/>
        <rFont val="Calibri"/>
        <family val="2"/>
        <scheme val="minor"/>
      </rPr>
      <t>Air Assist Control Valve Range/Performance</t>
    </r>
  </si>
  <si>
    <r>
      <t xml:space="preserve">P1144       </t>
    </r>
    <r>
      <rPr>
        <sz val="12"/>
        <color theme="1"/>
        <rFont val="Calibri"/>
        <family val="2"/>
        <scheme val="minor"/>
      </rPr>
      <t>Air Assist Control Valve Circuit Malfunction</t>
    </r>
  </si>
  <si>
    <r>
      <t xml:space="preserve">P1150       </t>
    </r>
    <r>
      <rPr>
        <sz val="12"/>
        <color theme="1"/>
        <rFont val="Calibri"/>
        <family val="2"/>
        <scheme val="minor"/>
      </rPr>
      <t>Lack Of HO2S21 Switch - Adaptive Fuel At Limit</t>
    </r>
  </si>
  <si>
    <r>
      <t xml:space="preserve">P1151       </t>
    </r>
    <r>
      <rPr>
        <sz val="12"/>
        <color theme="1"/>
        <rFont val="Calibri"/>
        <family val="2"/>
        <scheme val="minor"/>
      </rPr>
      <t>Lack Of HO2S21 Switch - Sensor Indicates Lean</t>
    </r>
  </si>
  <si>
    <r>
      <t xml:space="preserve">P1152       </t>
    </r>
    <r>
      <rPr>
        <sz val="12"/>
        <color theme="1"/>
        <rFont val="Calibri"/>
        <family val="2"/>
        <scheme val="minor"/>
      </rPr>
      <t>Lack Of HO2S21 Switch - Sensor Indicates Rich</t>
    </r>
  </si>
  <si>
    <r>
      <t xml:space="preserve">P1153       </t>
    </r>
    <r>
      <rPr>
        <sz val="12"/>
        <color theme="1"/>
        <rFont val="Calibri"/>
        <family val="2"/>
        <scheme val="minor"/>
      </rPr>
      <t>Bank 2 Fuel Control Shifted Lean</t>
    </r>
  </si>
  <si>
    <r>
      <t xml:space="preserve">P1154       </t>
    </r>
    <r>
      <rPr>
        <sz val="12"/>
        <color theme="1"/>
        <rFont val="Calibri"/>
        <family val="2"/>
        <scheme val="minor"/>
      </rPr>
      <t>Bank 2 Fuel Control Shifted Rich</t>
    </r>
  </si>
  <si>
    <r>
      <t xml:space="preserve">P1155       </t>
    </r>
    <r>
      <rPr>
        <sz val="12"/>
        <color theme="1"/>
        <rFont val="Calibri"/>
        <family val="2"/>
        <scheme val="minor"/>
      </rPr>
      <t>Alternative Fuel Controller</t>
    </r>
  </si>
  <si>
    <r>
      <t xml:space="preserve">P1156       </t>
    </r>
    <r>
      <rPr>
        <sz val="12"/>
        <color theme="1"/>
        <rFont val="Calibri"/>
        <family val="2"/>
        <scheme val="minor"/>
      </rPr>
      <t>Fuel Select Switch Malfunction</t>
    </r>
  </si>
  <si>
    <r>
      <t xml:space="preserve">P1157       </t>
    </r>
    <r>
      <rPr>
        <sz val="12"/>
        <color theme="1"/>
        <rFont val="Calibri"/>
        <family val="2"/>
        <scheme val="minor"/>
      </rPr>
      <t>Lack Of HO2S22 Switch - Sensor Indicates Lean</t>
    </r>
  </si>
  <si>
    <r>
      <t xml:space="preserve">P1158       </t>
    </r>
    <r>
      <rPr>
        <sz val="12"/>
        <color theme="1"/>
        <rFont val="Calibri"/>
        <family val="2"/>
        <scheme val="minor"/>
      </rPr>
      <t>Lack Of HO2S22 Switch - Sensor Indicates Rich</t>
    </r>
  </si>
  <si>
    <r>
      <t xml:space="preserve">P1159       </t>
    </r>
    <r>
      <rPr>
        <sz val="12"/>
        <color theme="1"/>
        <rFont val="Calibri"/>
        <family val="2"/>
        <scheme val="minor"/>
      </rPr>
      <t>Fuel Stepper Motor Malfunction</t>
    </r>
  </si>
  <si>
    <r>
      <t xml:space="preserve">P1167       </t>
    </r>
    <r>
      <rPr>
        <sz val="12"/>
        <color theme="1"/>
        <rFont val="Calibri"/>
        <family val="2"/>
        <scheme val="minor"/>
      </rPr>
      <t>Invalid Test,throttle not depressed</t>
    </r>
  </si>
  <si>
    <r>
      <t xml:space="preserve">P1168       </t>
    </r>
    <r>
      <rPr>
        <sz val="12"/>
        <color theme="1"/>
        <rFont val="Calibri"/>
        <family val="2"/>
        <scheme val="minor"/>
      </rPr>
      <t>Fuel Rail Sensor In-Range Low Failure</t>
    </r>
  </si>
  <si>
    <r>
      <t xml:space="preserve">P1169       </t>
    </r>
    <r>
      <rPr>
        <sz val="12"/>
        <color theme="1"/>
        <rFont val="Calibri"/>
        <family val="2"/>
        <scheme val="minor"/>
      </rPr>
      <t>Fuel Rail Sensor In-Range High Failure</t>
    </r>
  </si>
  <si>
    <r>
      <t xml:space="preserve">P1170       </t>
    </r>
    <r>
      <rPr>
        <sz val="12"/>
        <color theme="1"/>
        <rFont val="Calibri"/>
        <family val="2"/>
        <scheme val="minor"/>
      </rPr>
      <t>ESO - Engine Shut Off Solenoid Fault</t>
    </r>
  </si>
  <si>
    <r>
      <t xml:space="preserve">P1171       </t>
    </r>
    <r>
      <rPr>
        <sz val="12"/>
        <color theme="1"/>
        <rFont val="Calibri"/>
        <family val="2"/>
        <scheme val="minor"/>
      </rPr>
      <t>Rotor Sensor Fault</t>
    </r>
  </si>
  <si>
    <r>
      <t xml:space="preserve">P1172       </t>
    </r>
    <r>
      <rPr>
        <sz val="12"/>
        <color theme="1"/>
        <rFont val="Calibri"/>
        <family val="2"/>
        <scheme val="minor"/>
      </rPr>
      <t>Rotor Control Fault</t>
    </r>
  </si>
  <si>
    <r>
      <t xml:space="preserve">P1173       </t>
    </r>
    <r>
      <rPr>
        <sz val="12"/>
        <color theme="1"/>
        <rFont val="Calibri"/>
        <family val="2"/>
        <scheme val="minor"/>
      </rPr>
      <t>Rotor Calibration Fault</t>
    </r>
  </si>
  <si>
    <r>
      <t xml:space="preserve">P1174       </t>
    </r>
    <r>
      <rPr>
        <sz val="12"/>
        <color theme="1"/>
        <rFont val="Calibri"/>
        <family val="2"/>
        <scheme val="minor"/>
      </rPr>
      <t>Cam Sensor Fault</t>
    </r>
  </si>
  <si>
    <r>
      <t xml:space="preserve">P1175       </t>
    </r>
    <r>
      <rPr>
        <sz val="12"/>
        <color theme="1"/>
        <rFont val="Calibri"/>
        <family val="2"/>
        <scheme val="minor"/>
      </rPr>
      <t>Cam Control Fault</t>
    </r>
  </si>
  <si>
    <r>
      <t xml:space="preserve">P1176       </t>
    </r>
    <r>
      <rPr>
        <sz val="12"/>
        <color theme="1"/>
        <rFont val="Calibri"/>
        <family val="2"/>
        <scheme val="minor"/>
      </rPr>
      <t>Cam Calibration Fault</t>
    </r>
  </si>
  <si>
    <r>
      <t xml:space="preserve">P1177       </t>
    </r>
    <r>
      <rPr>
        <sz val="12"/>
        <color theme="1"/>
        <rFont val="Calibri"/>
        <family val="2"/>
        <scheme val="minor"/>
      </rPr>
      <t>Synchronization Fault</t>
    </r>
  </si>
  <si>
    <r>
      <t xml:space="preserve">P1178       </t>
    </r>
    <r>
      <rPr>
        <sz val="12"/>
        <color theme="1"/>
        <rFont val="Calibri"/>
        <family val="2"/>
        <scheme val="minor"/>
      </rPr>
      <t>( open )</t>
    </r>
  </si>
  <si>
    <r>
      <t xml:space="preserve">P1180       </t>
    </r>
    <r>
      <rPr>
        <sz val="12"/>
        <color theme="1"/>
        <rFont val="Calibri"/>
        <family val="2"/>
        <scheme val="minor"/>
      </rPr>
      <t>Fuel Delivery System Malfunction - Low</t>
    </r>
  </si>
  <si>
    <r>
      <t xml:space="preserve">P1181       </t>
    </r>
    <r>
      <rPr>
        <sz val="12"/>
        <color theme="1"/>
        <rFont val="Calibri"/>
        <family val="2"/>
        <scheme val="minor"/>
      </rPr>
      <t>Fuel Delivery System Malfunction - High</t>
    </r>
  </si>
  <si>
    <r>
      <t xml:space="preserve">P1182       </t>
    </r>
    <r>
      <rPr>
        <sz val="12"/>
        <color theme="1"/>
        <rFont val="Calibri"/>
        <family val="2"/>
        <scheme val="minor"/>
      </rPr>
      <t>Fuel Shut Off Solenoid Malfunction</t>
    </r>
  </si>
  <si>
    <r>
      <t xml:space="preserve">P1183       </t>
    </r>
    <r>
      <rPr>
        <sz val="12"/>
        <color theme="1"/>
        <rFont val="Calibri"/>
        <family val="2"/>
        <scheme val="minor"/>
      </rPr>
      <t>Engine Oil Temperature Circuit Malfunction</t>
    </r>
  </si>
  <si>
    <r>
      <t xml:space="preserve">P1184       </t>
    </r>
    <r>
      <rPr>
        <sz val="12"/>
        <color theme="1"/>
        <rFont val="Calibri"/>
        <family val="2"/>
        <scheme val="minor"/>
      </rPr>
      <t>Engine Oil Temperature Out Of Self Test Range</t>
    </r>
  </si>
  <si>
    <r>
      <t xml:space="preserve">P1185       </t>
    </r>
    <r>
      <rPr>
        <sz val="12"/>
        <color theme="1"/>
        <rFont val="Calibri"/>
        <family val="2"/>
        <scheme val="minor"/>
      </rPr>
      <t>FTS High - Fuel Pump Temperature Sensor High</t>
    </r>
  </si>
  <si>
    <r>
      <t xml:space="preserve">P1186       </t>
    </r>
    <r>
      <rPr>
        <sz val="12"/>
        <color theme="1"/>
        <rFont val="Calibri"/>
        <family val="2"/>
        <scheme val="minor"/>
      </rPr>
      <t>FTS Low - Fuel Pump Temperature Sensor Low</t>
    </r>
  </si>
  <si>
    <r>
      <t xml:space="preserve">P1187       </t>
    </r>
    <r>
      <rPr>
        <sz val="12"/>
        <color theme="1"/>
        <rFont val="Calibri"/>
        <family val="2"/>
        <scheme val="minor"/>
      </rPr>
      <t>Variant Selection</t>
    </r>
  </si>
  <si>
    <r>
      <t xml:space="preserve">P1188       </t>
    </r>
    <r>
      <rPr>
        <sz val="12"/>
        <color theme="1"/>
        <rFont val="Calibri"/>
        <family val="2"/>
        <scheme val="minor"/>
      </rPr>
      <t>Calibration Memory Fault</t>
    </r>
  </si>
  <si>
    <r>
      <t xml:space="preserve">P1189       </t>
    </r>
    <r>
      <rPr>
        <sz val="12"/>
        <color theme="1"/>
        <rFont val="Calibri"/>
        <family val="2"/>
        <scheme val="minor"/>
      </rPr>
      <t>Pump Speed Signal Fault</t>
    </r>
  </si>
  <si>
    <r>
      <t xml:space="preserve">P1190       </t>
    </r>
    <r>
      <rPr>
        <sz val="12"/>
        <color theme="1"/>
        <rFont val="Calibri"/>
        <family val="2"/>
        <scheme val="minor"/>
      </rPr>
      <t>Calibration Resistor Out Of Range</t>
    </r>
  </si>
  <si>
    <r>
      <t xml:space="preserve">P1191       </t>
    </r>
    <r>
      <rPr>
        <sz val="12"/>
        <color theme="1"/>
        <rFont val="Calibri"/>
        <family val="2"/>
        <scheme val="minor"/>
      </rPr>
      <t>Key Line Voltage</t>
    </r>
  </si>
  <si>
    <r>
      <t xml:space="preserve">P1192       </t>
    </r>
    <r>
      <rPr>
        <sz val="12"/>
        <color theme="1"/>
        <rFont val="Calibri"/>
        <family val="2"/>
        <scheme val="minor"/>
      </rPr>
      <t>Voltage External</t>
    </r>
  </si>
  <si>
    <r>
      <t xml:space="preserve">P1193       </t>
    </r>
    <r>
      <rPr>
        <sz val="12"/>
        <color theme="1"/>
        <rFont val="Calibri"/>
        <family val="2"/>
        <scheme val="minor"/>
      </rPr>
      <t>EGR Drive Overcurrent</t>
    </r>
  </si>
  <si>
    <r>
      <t xml:space="preserve">P1194       </t>
    </r>
    <r>
      <rPr>
        <sz val="12"/>
        <color theme="1"/>
        <rFont val="Calibri"/>
        <family val="2"/>
        <scheme val="minor"/>
      </rPr>
      <t>ECU A/D Converter</t>
    </r>
  </si>
  <si>
    <r>
      <t xml:space="preserve">P1195       </t>
    </r>
    <r>
      <rPr>
        <sz val="12"/>
        <color theme="1"/>
        <rFont val="Calibri"/>
        <family val="2"/>
        <scheme val="minor"/>
      </rPr>
      <t>SCP HBCC Failed To Initialize</t>
    </r>
  </si>
  <si>
    <r>
      <t xml:space="preserve">P1196       </t>
    </r>
    <r>
      <rPr>
        <sz val="12"/>
        <color theme="1"/>
        <rFont val="Calibri"/>
        <family val="2"/>
        <scheme val="minor"/>
      </rPr>
      <t>Key Off Voltage High</t>
    </r>
  </si>
  <si>
    <r>
      <t xml:space="preserve">P1197       </t>
    </r>
    <r>
      <rPr>
        <sz val="12"/>
        <color theme="1"/>
        <rFont val="Calibri"/>
        <family val="2"/>
        <scheme val="minor"/>
      </rPr>
      <t>Key Off Voltage Low</t>
    </r>
  </si>
  <si>
    <r>
      <t xml:space="preserve">P1198       </t>
    </r>
    <r>
      <rPr>
        <sz val="12"/>
        <color theme="1"/>
        <rFont val="Calibri"/>
        <family val="2"/>
        <scheme val="minor"/>
      </rPr>
      <t>Pump Rotor Control Underfueling</t>
    </r>
  </si>
  <si>
    <r>
      <t xml:space="preserve">P1199       </t>
    </r>
    <r>
      <rPr>
        <sz val="12"/>
        <color theme="1"/>
        <rFont val="Calibri"/>
        <family val="2"/>
        <scheme val="minor"/>
      </rPr>
      <t>Fuel Level Input Circuit Low</t>
    </r>
  </si>
  <si>
    <r>
      <t xml:space="preserve">P1200       </t>
    </r>
    <r>
      <rPr>
        <sz val="12"/>
        <color theme="1"/>
        <rFont val="Calibri"/>
        <family val="2"/>
        <scheme val="minor"/>
      </rPr>
      <t>Injector Control Circuit</t>
    </r>
  </si>
  <si>
    <r>
      <t xml:space="preserve">P1201       </t>
    </r>
    <r>
      <rPr>
        <sz val="12"/>
        <color theme="1"/>
        <rFont val="Calibri"/>
        <family val="2"/>
        <scheme val="minor"/>
      </rPr>
      <t>Injector Circuit Open / Shorted - Cylinder #1</t>
    </r>
  </si>
  <si>
    <r>
      <t xml:space="preserve">P1202       </t>
    </r>
    <r>
      <rPr>
        <sz val="12"/>
        <color theme="1"/>
        <rFont val="Calibri"/>
        <family val="2"/>
        <scheme val="minor"/>
      </rPr>
      <t>Injector Circuit Open / Shorted - Cylinder #2</t>
    </r>
  </si>
  <si>
    <r>
      <t xml:space="preserve">P1203       </t>
    </r>
    <r>
      <rPr>
        <sz val="12"/>
        <color theme="1"/>
        <rFont val="Calibri"/>
        <family val="2"/>
        <scheme val="minor"/>
      </rPr>
      <t>Injector Circuit Open / Shorted - Cylinder #3</t>
    </r>
  </si>
  <si>
    <r>
      <t xml:space="preserve">P1204       </t>
    </r>
    <r>
      <rPr>
        <sz val="12"/>
        <color theme="1"/>
        <rFont val="Calibri"/>
        <family val="2"/>
        <scheme val="minor"/>
      </rPr>
      <t>Injector Circuit Open / Shorted - Cylinder #4</t>
    </r>
  </si>
  <si>
    <r>
      <t xml:space="preserve">P1205       </t>
    </r>
    <r>
      <rPr>
        <sz val="12"/>
        <color theme="1"/>
        <rFont val="Calibri"/>
        <family val="2"/>
        <scheme val="minor"/>
      </rPr>
      <t>Injector Circuit Open / Shorted - Cylinder #5</t>
    </r>
  </si>
  <si>
    <r>
      <t xml:space="preserve">P1206       </t>
    </r>
    <r>
      <rPr>
        <sz val="12"/>
        <color theme="1"/>
        <rFont val="Calibri"/>
        <family val="2"/>
        <scheme val="minor"/>
      </rPr>
      <t>Injector Circuit Open / Shorted - Cylinder #6</t>
    </r>
  </si>
  <si>
    <r>
      <t xml:space="preserve">P1209       </t>
    </r>
    <r>
      <rPr>
        <sz val="12"/>
        <color theme="1"/>
        <rFont val="Calibri"/>
        <family val="2"/>
        <scheme val="minor"/>
      </rPr>
      <t>Injector Control Pressure System Fault</t>
    </r>
  </si>
  <si>
    <r>
      <t xml:space="preserve">P1210       </t>
    </r>
    <r>
      <rPr>
        <sz val="12"/>
        <color theme="1"/>
        <rFont val="Calibri"/>
        <family val="2"/>
        <scheme val="minor"/>
      </rPr>
      <t>Injector Control Pressure Above Expected Level</t>
    </r>
  </si>
  <si>
    <r>
      <t xml:space="preserve">P1211       </t>
    </r>
    <r>
      <rPr>
        <sz val="12"/>
        <color theme="1"/>
        <rFont val="Calibri"/>
        <family val="2"/>
        <scheme val="minor"/>
      </rPr>
      <t>Injector Control Pressure Sensor Above / Below Desired</t>
    </r>
  </si>
  <si>
    <r>
      <t xml:space="preserve">P1212       </t>
    </r>
    <r>
      <rPr>
        <sz val="12"/>
        <color theme="1"/>
        <rFont val="Calibri"/>
        <family val="2"/>
        <scheme val="minor"/>
      </rPr>
      <t>Injector Control Pressure Not Detected During Crank</t>
    </r>
  </si>
  <si>
    <r>
      <t xml:space="preserve">P1213       </t>
    </r>
    <r>
      <rPr>
        <sz val="12"/>
        <color theme="1"/>
        <rFont val="Calibri"/>
        <family val="2"/>
        <scheme val="minor"/>
      </rPr>
      <t>Start Injector Circuit Malfunction</t>
    </r>
  </si>
  <si>
    <r>
      <t xml:space="preserve">P1214       </t>
    </r>
    <r>
      <rPr>
        <sz val="12"/>
        <color theme="1"/>
        <rFont val="Calibri"/>
        <family val="2"/>
        <scheme val="minor"/>
      </rPr>
      <t>Pedal Position Sensor B Circuit Intermittent</t>
    </r>
  </si>
  <si>
    <r>
      <t xml:space="preserve">P1215       </t>
    </r>
    <r>
      <rPr>
        <sz val="12"/>
        <color theme="1"/>
        <rFont val="Calibri"/>
        <family val="2"/>
        <scheme val="minor"/>
      </rPr>
      <t>Pedal Position Sensor C Circuit Low Input</t>
    </r>
  </si>
  <si>
    <r>
      <t xml:space="preserve">P1216       </t>
    </r>
    <r>
      <rPr>
        <sz val="12"/>
        <color theme="1"/>
        <rFont val="Calibri"/>
        <family val="2"/>
        <scheme val="minor"/>
      </rPr>
      <t>Pedal Position Sensor C Circuit High Input</t>
    </r>
  </si>
  <si>
    <r>
      <t xml:space="preserve">P1217       </t>
    </r>
    <r>
      <rPr>
        <sz val="12"/>
        <color theme="1"/>
        <rFont val="Calibri"/>
        <family val="2"/>
        <scheme val="minor"/>
      </rPr>
      <t>Pedal Position Sensor C Circuit Intermittent</t>
    </r>
  </si>
  <si>
    <r>
      <t xml:space="preserve">P1218       </t>
    </r>
    <r>
      <rPr>
        <sz val="12"/>
        <color theme="1"/>
        <rFont val="Calibri"/>
        <family val="2"/>
        <scheme val="minor"/>
      </rPr>
      <t>CID High</t>
    </r>
  </si>
  <si>
    <r>
      <t xml:space="preserve">P1219       </t>
    </r>
    <r>
      <rPr>
        <sz val="12"/>
        <color theme="1"/>
        <rFont val="Calibri"/>
        <family val="2"/>
        <scheme val="minor"/>
      </rPr>
      <t>CID Low</t>
    </r>
  </si>
  <si>
    <r>
      <t xml:space="preserve">P1220       </t>
    </r>
    <r>
      <rPr>
        <sz val="12"/>
        <color theme="1"/>
        <rFont val="Calibri"/>
        <family val="2"/>
        <scheme val="minor"/>
      </rPr>
      <t>Series Throttle Control System Malfunction</t>
    </r>
  </si>
  <si>
    <r>
      <t xml:space="preserve">P1221       </t>
    </r>
    <r>
      <rPr>
        <sz val="12"/>
        <color theme="1"/>
        <rFont val="Calibri"/>
        <family val="2"/>
        <scheme val="minor"/>
      </rPr>
      <t>Traction Control System Malfunction</t>
    </r>
  </si>
  <si>
    <r>
      <t xml:space="preserve">P1222       </t>
    </r>
    <r>
      <rPr>
        <sz val="12"/>
        <color theme="1"/>
        <rFont val="Calibri"/>
        <family val="2"/>
        <scheme val="minor"/>
      </rPr>
      <t>Traction Control Output Circuit Malfunction</t>
    </r>
  </si>
  <si>
    <r>
      <t xml:space="preserve">P1223       </t>
    </r>
    <r>
      <rPr>
        <sz val="12"/>
        <color theme="1"/>
        <rFont val="Calibri"/>
        <family val="2"/>
        <scheme val="minor"/>
      </rPr>
      <t>Pedal Demand Sensor B Circuit High Input</t>
    </r>
  </si>
  <si>
    <r>
      <t xml:space="preserve">P1224       </t>
    </r>
    <r>
      <rPr>
        <sz val="12"/>
        <color theme="1"/>
        <rFont val="Calibri"/>
        <family val="2"/>
        <scheme val="minor"/>
      </rPr>
      <t>Throttle Position Sensor B Out Of Self Test Range</t>
    </r>
  </si>
  <si>
    <r>
      <t xml:space="preserve">P1225       </t>
    </r>
    <r>
      <rPr>
        <sz val="12"/>
        <color theme="1"/>
        <rFont val="Calibri"/>
        <family val="2"/>
        <scheme val="minor"/>
      </rPr>
      <t>Needle Lift Sensor Malfunction</t>
    </r>
  </si>
  <si>
    <r>
      <t xml:space="preserve">P1226       </t>
    </r>
    <r>
      <rPr>
        <sz val="12"/>
        <color theme="1"/>
        <rFont val="Calibri"/>
        <family val="2"/>
        <scheme val="minor"/>
      </rPr>
      <t>Control Sleeve Sensor Malfunction</t>
    </r>
  </si>
  <si>
    <r>
      <t xml:space="preserve">P1227       </t>
    </r>
    <r>
      <rPr>
        <sz val="12"/>
        <color theme="1"/>
        <rFont val="Calibri"/>
        <family val="2"/>
        <scheme val="minor"/>
      </rPr>
      <t>Wastegate Failed Closed (Over Pressure)</t>
    </r>
  </si>
  <si>
    <r>
      <t xml:space="preserve">P1228       </t>
    </r>
    <r>
      <rPr>
        <sz val="12"/>
        <color theme="1"/>
        <rFont val="Calibri"/>
        <family val="2"/>
        <scheme val="minor"/>
      </rPr>
      <t>Wastegate Failed Open (Under Pressure)</t>
    </r>
  </si>
  <si>
    <r>
      <t xml:space="preserve">P1229       </t>
    </r>
    <r>
      <rPr>
        <sz val="12"/>
        <color theme="1"/>
        <rFont val="Calibri"/>
        <family val="2"/>
        <scheme val="minor"/>
      </rPr>
      <t>Intercooler Pump Driver Fault</t>
    </r>
  </si>
  <si>
    <r>
      <t xml:space="preserve">P1230       </t>
    </r>
    <r>
      <rPr>
        <sz val="12"/>
        <color theme="1"/>
        <rFont val="Calibri"/>
        <family val="2"/>
        <scheme val="minor"/>
      </rPr>
      <t>Fuel Pump Low Speed Malfunction</t>
    </r>
  </si>
  <si>
    <r>
      <t xml:space="preserve">P1231       </t>
    </r>
    <r>
      <rPr>
        <sz val="12"/>
        <color theme="1"/>
        <rFont val="Calibri"/>
        <family val="2"/>
        <scheme val="minor"/>
      </rPr>
      <t>Fuel Pump Secondary Circuit Low, High Speed</t>
    </r>
  </si>
  <si>
    <r>
      <t xml:space="preserve">P1232       </t>
    </r>
    <r>
      <rPr>
        <sz val="12"/>
        <color theme="1"/>
        <rFont val="Calibri"/>
        <family val="2"/>
        <scheme val="minor"/>
      </rPr>
      <t>Fuel Pump Speed Primary Circuit Malfunction</t>
    </r>
  </si>
  <si>
    <r>
      <t xml:space="preserve">P1233       </t>
    </r>
    <r>
      <rPr>
        <sz val="12"/>
        <color theme="1"/>
        <rFont val="Calibri"/>
        <family val="2"/>
        <scheme val="minor"/>
      </rPr>
      <t>Fuel Pump Driver Module Off Line</t>
    </r>
  </si>
  <si>
    <r>
      <t xml:space="preserve">P1234       </t>
    </r>
    <r>
      <rPr>
        <sz val="12"/>
        <color theme="1"/>
        <rFont val="Calibri"/>
        <family val="2"/>
        <scheme val="minor"/>
      </rPr>
      <t>Fuel Pump Driver Module Off Line</t>
    </r>
  </si>
  <si>
    <r>
      <t xml:space="preserve">P1235       </t>
    </r>
    <r>
      <rPr>
        <sz val="12"/>
        <color theme="1"/>
        <rFont val="Calibri"/>
        <family val="2"/>
        <scheme val="minor"/>
      </rPr>
      <t>Fuel Pump Control Out Of Range</t>
    </r>
  </si>
  <si>
    <r>
      <t xml:space="preserve">P1236       </t>
    </r>
    <r>
      <rPr>
        <sz val="12"/>
        <color theme="1"/>
        <rFont val="Calibri"/>
        <family val="2"/>
        <scheme val="minor"/>
      </rPr>
      <t>Fuel Pump Control Out Of Range</t>
    </r>
  </si>
  <si>
    <r>
      <t xml:space="preserve">P1237       </t>
    </r>
    <r>
      <rPr>
        <sz val="12"/>
        <color theme="1"/>
        <rFont val="Calibri"/>
        <family val="2"/>
        <scheme val="minor"/>
      </rPr>
      <t>Fuel Pump Secondary Circuit Malfunction</t>
    </r>
  </si>
  <si>
    <r>
      <t xml:space="preserve">P1238       </t>
    </r>
    <r>
      <rPr>
        <sz val="12"/>
        <color theme="1"/>
        <rFont val="Calibri"/>
        <family val="2"/>
        <scheme val="minor"/>
      </rPr>
      <t>Fuel Pump Secondary Circuit Malfunction</t>
    </r>
  </si>
  <si>
    <r>
      <t xml:space="preserve">P1239       </t>
    </r>
    <r>
      <rPr>
        <sz val="12"/>
        <color theme="1"/>
        <rFont val="Calibri"/>
        <family val="2"/>
        <scheme val="minor"/>
      </rPr>
      <t>Speed Fuel Pump Positive Feed Fault</t>
    </r>
  </si>
  <si>
    <r>
      <t xml:space="preserve">P1240       </t>
    </r>
    <r>
      <rPr>
        <sz val="12"/>
        <color theme="1"/>
        <rFont val="Calibri"/>
        <family val="2"/>
        <scheme val="minor"/>
      </rPr>
      <t>Sensor Power Supply Malfunction</t>
    </r>
  </si>
  <si>
    <r>
      <t xml:space="preserve">P1241       </t>
    </r>
    <r>
      <rPr>
        <sz val="12"/>
        <color theme="1"/>
        <rFont val="Calibri"/>
        <family val="2"/>
        <scheme val="minor"/>
      </rPr>
      <t>Sensor Power Supply Low Input</t>
    </r>
  </si>
  <si>
    <r>
      <t xml:space="preserve">P1242       </t>
    </r>
    <r>
      <rPr>
        <sz val="12"/>
        <color theme="1"/>
        <rFont val="Calibri"/>
        <family val="2"/>
        <scheme val="minor"/>
      </rPr>
      <t>Sensor Power Supply High Input</t>
    </r>
  </si>
  <si>
    <r>
      <t xml:space="preserve">P1243       </t>
    </r>
    <r>
      <rPr>
        <sz val="12"/>
        <color theme="1"/>
        <rFont val="Calibri"/>
        <family val="2"/>
        <scheme val="minor"/>
      </rPr>
      <t>Second Fuel Pump Faulty or Ground Fault</t>
    </r>
  </si>
  <si>
    <r>
      <t xml:space="preserve">P1244       </t>
    </r>
    <r>
      <rPr>
        <sz val="12"/>
        <color theme="1"/>
        <rFont val="Calibri"/>
        <family val="2"/>
        <scheme val="minor"/>
      </rPr>
      <t>Alternator Load Input Failed High</t>
    </r>
  </si>
  <si>
    <r>
      <t xml:space="preserve">P1245       </t>
    </r>
    <r>
      <rPr>
        <sz val="12"/>
        <color theme="1"/>
        <rFont val="Calibri"/>
        <family val="2"/>
        <scheme val="minor"/>
      </rPr>
      <t>Alternator Load Input Failed Low</t>
    </r>
  </si>
  <si>
    <r>
      <t xml:space="preserve">P1246       </t>
    </r>
    <r>
      <rPr>
        <sz val="12"/>
        <color theme="1"/>
        <rFont val="Calibri"/>
        <family val="2"/>
        <scheme val="minor"/>
      </rPr>
      <t>Alternator Load Input Failed</t>
    </r>
  </si>
  <si>
    <r>
      <t xml:space="preserve">P1247       </t>
    </r>
    <r>
      <rPr>
        <sz val="12"/>
        <color theme="1"/>
        <rFont val="Calibri"/>
        <family val="2"/>
        <scheme val="minor"/>
      </rPr>
      <t>Turbo Boost Pressure Low</t>
    </r>
  </si>
  <si>
    <r>
      <t xml:space="preserve">P1248       </t>
    </r>
    <r>
      <rPr>
        <sz val="12"/>
        <color theme="1"/>
        <rFont val="Calibri"/>
        <family val="2"/>
        <scheme val="minor"/>
      </rPr>
      <t>Turbo Boost Pressure Not Detected</t>
    </r>
  </si>
  <si>
    <r>
      <t xml:space="preserve">P1249       </t>
    </r>
    <r>
      <rPr>
        <sz val="12"/>
        <color theme="1"/>
        <rFont val="Calibri"/>
        <family val="2"/>
        <scheme val="minor"/>
      </rPr>
      <t>Wastegate Control Valve Performance</t>
    </r>
  </si>
  <si>
    <r>
      <t xml:space="preserve">P1250       </t>
    </r>
    <r>
      <rPr>
        <sz val="12"/>
        <color theme="1"/>
        <rFont val="Calibri"/>
        <family val="2"/>
        <scheme val="minor"/>
      </rPr>
      <t>PRC Solenoid Circuit Malfunction</t>
    </r>
  </si>
  <si>
    <r>
      <t xml:space="preserve">P1251       </t>
    </r>
    <r>
      <rPr>
        <sz val="12"/>
        <color theme="1"/>
        <rFont val="Calibri"/>
        <family val="2"/>
        <scheme val="minor"/>
      </rPr>
      <t>Air Mixture Solenoid Circuit Malfunction</t>
    </r>
  </si>
  <si>
    <r>
      <t xml:space="preserve">P1252       </t>
    </r>
    <r>
      <rPr>
        <sz val="12"/>
        <color theme="1"/>
        <rFont val="Calibri"/>
        <family val="2"/>
        <scheme val="minor"/>
      </rPr>
      <t>Pedal Correlation PDS1 and LPDS High</t>
    </r>
  </si>
  <si>
    <r>
      <t xml:space="preserve">P1253       </t>
    </r>
    <r>
      <rPr>
        <sz val="12"/>
        <color theme="1"/>
        <rFont val="Calibri"/>
        <family val="2"/>
        <scheme val="minor"/>
      </rPr>
      <t>Pedal Correlation PDS1 and LPDS Low</t>
    </r>
  </si>
  <si>
    <r>
      <t xml:space="preserve">P1254       </t>
    </r>
    <r>
      <rPr>
        <sz val="12"/>
        <color theme="1"/>
        <rFont val="Calibri"/>
        <family val="2"/>
        <scheme val="minor"/>
      </rPr>
      <t>Pedal Correlation PDS2 and LPDS High</t>
    </r>
  </si>
  <si>
    <r>
      <t xml:space="preserve">P1255       </t>
    </r>
    <r>
      <rPr>
        <sz val="12"/>
        <color theme="1"/>
        <rFont val="Calibri"/>
        <family val="2"/>
        <scheme val="minor"/>
      </rPr>
      <t>Pedal Correlation PDS2 and LPDS Low</t>
    </r>
  </si>
  <si>
    <r>
      <t xml:space="preserve">P1256       </t>
    </r>
    <r>
      <rPr>
        <sz val="12"/>
        <color theme="1"/>
        <rFont val="Calibri"/>
        <family val="2"/>
        <scheme val="minor"/>
      </rPr>
      <t>Pedal Correlation PDS1 and HPDS</t>
    </r>
  </si>
  <si>
    <r>
      <t xml:space="preserve">P1257       </t>
    </r>
    <r>
      <rPr>
        <sz val="12"/>
        <color theme="1"/>
        <rFont val="Calibri"/>
        <family val="2"/>
        <scheme val="minor"/>
      </rPr>
      <t>Pedal Correlation PDS2 and HPDS</t>
    </r>
  </si>
  <si>
    <r>
      <t xml:space="preserve">P1258       </t>
    </r>
    <r>
      <rPr>
        <sz val="12"/>
        <color theme="1"/>
        <rFont val="Calibri"/>
        <family val="2"/>
        <scheme val="minor"/>
      </rPr>
      <t>Pedal Correlation PDS1 and PDS2</t>
    </r>
  </si>
  <si>
    <r>
      <t xml:space="preserve">P1259       </t>
    </r>
    <r>
      <rPr>
        <sz val="12"/>
        <color theme="1"/>
        <rFont val="Calibri"/>
        <family val="2"/>
        <scheme val="minor"/>
      </rPr>
      <t>Immobilizer to PCM Signal Error</t>
    </r>
  </si>
  <si>
    <r>
      <t xml:space="preserve">P1260       </t>
    </r>
    <r>
      <rPr>
        <sz val="12"/>
        <color theme="1"/>
        <rFont val="Calibri"/>
        <family val="2"/>
        <scheme val="minor"/>
      </rPr>
      <t>THEFT Detected, Vehicle Immobilzed</t>
    </r>
  </si>
  <si>
    <r>
      <t xml:space="preserve">P1261       </t>
    </r>
    <r>
      <rPr>
        <sz val="12"/>
        <color theme="1"/>
        <rFont val="Calibri"/>
        <family val="2"/>
        <scheme val="minor"/>
      </rPr>
      <t>Cylinder #1 High To Low Side Short</t>
    </r>
  </si>
  <si>
    <r>
      <t xml:space="preserve">P1262       </t>
    </r>
    <r>
      <rPr>
        <sz val="12"/>
        <color theme="1"/>
        <rFont val="Calibri"/>
        <family val="2"/>
        <scheme val="minor"/>
      </rPr>
      <t>Cylinder #2 High To Low Side Short</t>
    </r>
  </si>
  <si>
    <r>
      <t xml:space="preserve">P1263       </t>
    </r>
    <r>
      <rPr>
        <sz val="12"/>
        <color theme="1"/>
        <rFont val="Calibri"/>
        <family val="2"/>
        <scheme val="minor"/>
      </rPr>
      <t>Cylinder #3 High To Low Side Short</t>
    </r>
  </si>
  <si>
    <r>
      <t xml:space="preserve">P1264       </t>
    </r>
    <r>
      <rPr>
        <sz val="12"/>
        <color theme="1"/>
        <rFont val="Calibri"/>
        <family val="2"/>
        <scheme val="minor"/>
      </rPr>
      <t>Cylinder #4 High To Low Side Short</t>
    </r>
  </si>
  <si>
    <r>
      <t xml:space="preserve">P1265       </t>
    </r>
    <r>
      <rPr>
        <sz val="12"/>
        <color theme="1"/>
        <rFont val="Calibri"/>
        <family val="2"/>
        <scheme val="minor"/>
      </rPr>
      <t>Cylinder #5 High To Low Side Short</t>
    </r>
  </si>
  <si>
    <r>
      <t xml:space="preserve">P1266       </t>
    </r>
    <r>
      <rPr>
        <sz val="12"/>
        <color theme="1"/>
        <rFont val="Calibri"/>
        <family val="2"/>
        <scheme val="minor"/>
      </rPr>
      <t>Cylinder #6 High To Low Side Short</t>
    </r>
  </si>
  <si>
    <r>
      <t xml:space="preserve">P1267       </t>
    </r>
    <r>
      <rPr>
        <sz val="12"/>
        <color theme="1"/>
        <rFont val="Calibri"/>
        <family val="2"/>
        <scheme val="minor"/>
      </rPr>
      <t>Cylinder #7 High To Low Side Short</t>
    </r>
  </si>
  <si>
    <r>
      <t xml:space="preserve">P1268       </t>
    </r>
    <r>
      <rPr>
        <sz val="12"/>
        <color theme="1"/>
        <rFont val="Calibri"/>
        <family val="2"/>
        <scheme val="minor"/>
      </rPr>
      <t>Cylinder #8 High To Low Side Short</t>
    </r>
  </si>
  <si>
    <r>
      <t xml:space="preserve">P1269       </t>
    </r>
    <r>
      <rPr>
        <sz val="12"/>
        <color theme="1"/>
        <rFont val="Calibri"/>
        <family val="2"/>
        <scheme val="minor"/>
      </rPr>
      <t>Immobilizer Code Not Programmed</t>
    </r>
  </si>
  <si>
    <r>
      <t xml:space="preserve">P1270       </t>
    </r>
    <r>
      <rPr>
        <sz val="12"/>
        <color theme="1"/>
        <rFont val="Calibri"/>
        <family val="2"/>
        <scheme val="minor"/>
      </rPr>
      <t>Engine RPM Or Speed Limiter Reached</t>
    </r>
  </si>
  <si>
    <r>
      <t xml:space="preserve">P1271       </t>
    </r>
    <r>
      <rPr>
        <sz val="12"/>
        <color theme="1"/>
        <rFont val="Calibri"/>
        <family val="2"/>
        <scheme val="minor"/>
      </rPr>
      <t>Cylinder #1 High To Low Side Open</t>
    </r>
  </si>
  <si>
    <r>
      <t xml:space="preserve">P1272       </t>
    </r>
    <r>
      <rPr>
        <sz val="12"/>
        <color theme="1"/>
        <rFont val="Calibri"/>
        <family val="2"/>
        <scheme val="minor"/>
      </rPr>
      <t>Cylinder #2 High To Low Side Open</t>
    </r>
  </si>
  <si>
    <r>
      <t xml:space="preserve">P1273       </t>
    </r>
    <r>
      <rPr>
        <sz val="12"/>
        <color theme="1"/>
        <rFont val="Calibri"/>
        <family val="2"/>
        <scheme val="minor"/>
      </rPr>
      <t>Cylinder #3 High To Low Side Open</t>
    </r>
  </si>
  <si>
    <r>
      <t xml:space="preserve">P1274       </t>
    </r>
    <r>
      <rPr>
        <sz val="12"/>
        <color theme="1"/>
        <rFont val="Calibri"/>
        <family val="2"/>
        <scheme val="minor"/>
      </rPr>
      <t>Cylinder #4 High To Low Side Open</t>
    </r>
  </si>
  <si>
    <r>
      <t xml:space="preserve">P1275       </t>
    </r>
    <r>
      <rPr>
        <sz val="12"/>
        <color theme="1"/>
        <rFont val="Calibri"/>
        <family val="2"/>
        <scheme val="minor"/>
      </rPr>
      <t>Cylinder #5 High To Low Side Open</t>
    </r>
  </si>
  <si>
    <r>
      <t xml:space="preserve">P1276       </t>
    </r>
    <r>
      <rPr>
        <sz val="12"/>
        <color theme="1"/>
        <rFont val="Calibri"/>
        <family val="2"/>
        <scheme val="minor"/>
      </rPr>
      <t>Cylinder #6 High To Low Side Open</t>
    </r>
  </si>
  <si>
    <r>
      <t xml:space="preserve">P1277       </t>
    </r>
    <r>
      <rPr>
        <sz val="12"/>
        <color theme="1"/>
        <rFont val="Calibri"/>
        <family val="2"/>
        <scheme val="minor"/>
      </rPr>
      <t>Cylinder #7 High To Low Side Open</t>
    </r>
  </si>
  <si>
    <r>
      <t xml:space="preserve">P1278       </t>
    </r>
    <r>
      <rPr>
        <sz val="12"/>
        <color theme="1"/>
        <rFont val="Calibri"/>
        <family val="2"/>
        <scheme val="minor"/>
      </rPr>
      <t>Cylinder #8 High To Low Side Open</t>
    </r>
  </si>
  <si>
    <r>
      <t xml:space="preserve">P1280       </t>
    </r>
    <r>
      <rPr>
        <sz val="12"/>
        <color theme="1"/>
        <rFont val="Calibri"/>
        <family val="2"/>
        <scheme val="minor"/>
      </rPr>
      <t>Injection Control Pressure Out Of Range Low</t>
    </r>
  </si>
  <si>
    <r>
      <t xml:space="preserve">P1281       </t>
    </r>
    <r>
      <rPr>
        <sz val="12"/>
        <color theme="1"/>
        <rFont val="Calibri"/>
        <family val="2"/>
        <scheme val="minor"/>
      </rPr>
      <t>Injection Control Pressure Out Of Range High</t>
    </r>
  </si>
  <si>
    <r>
      <t xml:space="preserve">P1282       </t>
    </r>
    <r>
      <rPr>
        <sz val="12"/>
        <color theme="1"/>
        <rFont val="Calibri"/>
        <family val="2"/>
        <scheme val="minor"/>
      </rPr>
      <t>Excessive Injection Control Pressure</t>
    </r>
  </si>
  <si>
    <r>
      <t xml:space="preserve">P1283       </t>
    </r>
    <r>
      <rPr>
        <sz val="12"/>
        <color theme="1"/>
        <rFont val="Calibri"/>
        <family val="2"/>
        <scheme val="minor"/>
      </rPr>
      <t>IPR Circuit Failure</t>
    </r>
  </si>
  <si>
    <r>
      <t xml:space="preserve">P1284       </t>
    </r>
    <r>
      <rPr>
        <sz val="12"/>
        <color theme="1"/>
        <rFont val="Calibri"/>
        <family val="2"/>
        <scheme val="minor"/>
      </rPr>
      <t>Aborted KOER - ICP Failure</t>
    </r>
  </si>
  <si>
    <r>
      <t xml:space="preserve">P1285       </t>
    </r>
    <r>
      <rPr>
        <sz val="12"/>
        <color theme="1"/>
        <rFont val="Calibri"/>
        <family val="2"/>
        <scheme val="minor"/>
      </rPr>
      <t>Cylinder head over temp sensed</t>
    </r>
  </si>
  <si>
    <r>
      <t xml:space="preserve">P1286       </t>
    </r>
    <r>
      <rPr>
        <sz val="12"/>
        <color theme="1"/>
        <rFont val="Calibri"/>
        <family val="2"/>
        <scheme val="minor"/>
      </rPr>
      <t>Fuel Pulse In Range But Lower Than Expected</t>
    </r>
  </si>
  <si>
    <r>
      <t xml:space="preserve">P1287       </t>
    </r>
    <r>
      <rPr>
        <sz val="12"/>
        <color theme="1"/>
        <rFont val="Calibri"/>
        <family val="2"/>
        <scheme val="minor"/>
      </rPr>
      <t>Fuel Pulse In Range But Higher Than Expected</t>
    </r>
  </si>
  <si>
    <r>
      <t xml:space="preserve">P1288       </t>
    </r>
    <r>
      <rPr>
        <sz val="12"/>
        <color theme="1"/>
        <rFont val="Calibri"/>
        <family val="2"/>
        <scheme val="minor"/>
      </rPr>
      <t>Cylinder Head Temp Sensor Out Of Self Test Range</t>
    </r>
  </si>
  <si>
    <r>
      <t xml:space="preserve">P1289       </t>
    </r>
    <r>
      <rPr>
        <sz val="12"/>
        <color theme="1"/>
        <rFont val="Calibri"/>
        <family val="2"/>
        <scheme val="minor"/>
      </rPr>
      <t>Cylinder Head Temp Sensor High Input</t>
    </r>
  </si>
  <si>
    <r>
      <t xml:space="preserve">P1290       </t>
    </r>
    <r>
      <rPr>
        <sz val="12"/>
        <color theme="1"/>
        <rFont val="Calibri"/>
        <family val="2"/>
        <scheme val="minor"/>
      </rPr>
      <t>Cylinder Head Temp Sensor Low Input</t>
    </r>
  </si>
  <si>
    <r>
      <t xml:space="preserve">P1291       </t>
    </r>
    <r>
      <rPr>
        <sz val="12"/>
        <color theme="1"/>
        <rFont val="Calibri"/>
        <family val="2"/>
        <scheme val="minor"/>
      </rPr>
      <t>Injector High Side Short To GND Or VBATT - Bank 1</t>
    </r>
  </si>
  <si>
    <r>
      <t xml:space="preserve">P1292       </t>
    </r>
    <r>
      <rPr>
        <sz val="12"/>
        <color theme="1"/>
        <rFont val="Calibri"/>
        <family val="2"/>
        <scheme val="minor"/>
      </rPr>
      <t>Injector High Side Short To GND Or VBATT - Bank 2</t>
    </r>
  </si>
  <si>
    <r>
      <t xml:space="preserve">P1293       </t>
    </r>
    <r>
      <rPr>
        <sz val="12"/>
        <color theme="1"/>
        <rFont val="Calibri"/>
        <family val="2"/>
        <scheme val="minor"/>
      </rPr>
      <t>Injector High Side Open - Bank 1</t>
    </r>
  </si>
  <si>
    <r>
      <t xml:space="preserve">P1294       </t>
    </r>
    <r>
      <rPr>
        <sz val="12"/>
        <color theme="1"/>
        <rFont val="Calibri"/>
        <family val="2"/>
        <scheme val="minor"/>
      </rPr>
      <t>Injector High Side Open - Bank 2/Target idle not reached</t>
    </r>
  </si>
  <si>
    <r>
      <t xml:space="preserve">P1295       </t>
    </r>
    <r>
      <rPr>
        <sz val="12"/>
        <color theme="1"/>
        <rFont val="Calibri"/>
        <family val="2"/>
        <scheme val="minor"/>
      </rPr>
      <t>Multi-faults - Bank 1 - With Low Side Shorts</t>
    </r>
  </si>
  <si>
    <r>
      <t xml:space="preserve">P1296       </t>
    </r>
    <r>
      <rPr>
        <sz val="12"/>
        <color theme="1"/>
        <rFont val="Calibri"/>
        <family val="2"/>
        <scheme val="minor"/>
      </rPr>
      <t>Multi-faults - Bank 2 - With Low Side Shorts</t>
    </r>
  </si>
  <si>
    <r>
      <t xml:space="preserve">P1297       </t>
    </r>
    <r>
      <rPr>
        <sz val="12"/>
        <color theme="1"/>
        <rFont val="Calibri"/>
        <family val="2"/>
        <scheme val="minor"/>
      </rPr>
      <t>Injector High Sides Shorted Together</t>
    </r>
  </si>
  <si>
    <r>
      <t xml:space="preserve">P1298       </t>
    </r>
    <r>
      <rPr>
        <sz val="12"/>
        <color theme="1"/>
        <rFont val="Calibri"/>
        <family val="2"/>
        <scheme val="minor"/>
      </rPr>
      <t>IDM Failure</t>
    </r>
  </si>
  <si>
    <r>
      <t xml:space="preserve">P1299       </t>
    </r>
    <r>
      <rPr>
        <sz val="12"/>
        <color theme="1"/>
        <rFont val="Calibri"/>
        <family val="2"/>
        <scheme val="minor"/>
      </rPr>
      <t>Cylinder Head Overtemperature Protection Active</t>
    </r>
  </si>
  <si>
    <r>
      <t xml:space="preserve">P1300       </t>
    </r>
    <r>
      <rPr>
        <sz val="12"/>
        <color theme="1"/>
        <rFont val="Calibri"/>
        <family val="2"/>
        <scheme val="minor"/>
      </rPr>
      <t>Boost Calibration Fault</t>
    </r>
  </si>
  <si>
    <r>
      <t xml:space="preserve">P1301       </t>
    </r>
    <r>
      <rPr>
        <sz val="12"/>
        <color theme="1"/>
        <rFont val="Calibri"/>
        <family val="2"/>
        <scheme val="minor"/>
      </rPr>
      <t>Boost Calibration High</t>
    </r>
  </si>
  <si>
    <r>
      <t xml:space="preserve">P1302       </t>
    </r>
    <r>
      <rPr>
        <sz val="12"/>
        <color theme="1"/>
        <rFont val="Calibri"/>
        <family val="2"/>
        <scheme val="minor"/>
      </rPr>
      <t>Boost Calibration Low</t>
    </r>
  </si>
  <si>
    <r>
      <t xml:space="preserve">P1303       </t>
    </r>
    <r>
      <rPr>
        <sz val="12"/>
        <color theme="1"/>
        <rFont val="Calibri"/>
        <family val="2"/>
        <scheme val="minor"/>
      </rPr>
      <t>EGR Calibration Fault</t>
    </r>
  </si>
  <si>
    <r>
      <t xml:space="preserve">P1304       </t>
    </r>
    <r>
      <rPr>
        <sz val="12"/>
        <color theme="1"/>
        <rFont val="Calibri"/>
        <family val="2"/>
        <scheme val="minor"/>
      </rPr>
      <t>EGR Calibration High</t>
    </r>
  </si>
  <si>
    <r>
      <t xml:space="preserve">P1305       </t>
    </r>
    <r>
      <rPr>
        <sz val="12"/>
        <color theme="1"/>
        <rFont val="Calibri"/>
        <family val="2"/>
        <scheme val="minor"/>
      </rPr>
      <t>EGR Calibration Low</t>
    </r>
  </si>
  <si>
    <r>
      <t xml:space="preserve">P1306       </t>
    </r>
    <r>
      <rPr>
        <sz val="12"/>
        <color theme="1"/>
        <rFont val="Calibri"/>
        <family val="2"/>
        <scheme val="minor"/>
      </rPr>
      <t>Kickdown Relay Pull - In Circuit Fault</t>
    </r>
  </si>
  <si>
    <r>
      <t xml:space="preserve">P1307       </t>
    </r>
    <r>
      <rPr>
        <sz val="12"/>
        <color theme="1"/>
        <rFont val="Calibri"/>
        <family val="2"/>
        <scheme val="minor"/>
      </rPr>
      <t>Kickdown Relay Hold Circuit Fault</t>
    </r>
  </si>
  <si>
    <r>
      <t xml:space="preserve">P1308       </t>
    </r>
    <r>
      <rPr>
        <sz val="12"/>
        <color theme="1"/>
        <rFont val="Calibri"/>
        <family val="2"/>
        <scheme val="minor"/>
      </rPr>
      <t>A/C Clutch Circuit Fault</t>
    </r>
  </si>
  <si>
    <r>
      <t xml:space="preserve">P1309       </t>
    </r>
    <r>
      <rPr>
        <sz val="12"/>
        <color theme="1"/>
        <rFont val="Calibri"/>
        <family val="2"/>
        <scheme val="minor"/>
      </rPr>
      <t>Misfire Monitor AICE Chip Fault</t>
    </r>
  </si>
  <si>
    <r>
      <t xml:space="preserve">P1313       </t>
    </r>
    <r>
      <rPr>
        <sz val="12"/>
        <color theme="1"/>
        <rFont val="Calibri"/>
        <family val="2"/>
        <scheme val="minor"/>
      </rPr>
      <t>Misfire Rate Catalyst Damage Fault - Bank 1</t>
    </r>
  </si>
  <si>
    <r>
      <t xml:space="preserve">P1314       </t>
    </r>
    <r>
      <rPr>
        <sz val="12"/>
        <color theme="1"/>
        <rFont val="Calibri"/>
        <family val="2"/>
        <scheme val="minor"/>
      </rPr>
      <t>Misfire Rate Catalyst Damage Fault - Bank 2</t>
    </r>
  </si>
  <si>
    <r>
      <t xml:space="preserve">P1315       </t>
    </r>
    <r>
      <rPr>
        <sz val="12"/>
        <color theme="1"/>
        <rFont val="Calibri"/>
        <family val="2"/>
        <scheme val="minor"/>
      </rPr>
      <t>Persistent Misfire</t>
    </r>
  </si>
  <si>
    <r>
      <t xml:space="preserve">P1316       </t>
    </r>
    <r>
      <rPr>
        <sz val="12"/>
        <color theme="1"/>
        <rFont val="Calibri"/>
        <family val="2"/>
        <scheme val="minor"/>
      </rPr>
      <t>Injector Circuit / IDM Codes Detected</t>
    </r>
  </si>
  <si>
    <r>
      <t xml:space="preserve">P1317       </t>
    </r>
    <r>
      <rPr>
        <sz val="12"/>
        <color theme="1"/>
        <rFont val="Calibri"/>
        <family val="2"/>
        <scheme val="minor"/>
      </rPr>
      <t>Injector Circuit / IDM Codes Not Updated</t>
    </r>
  </si>
  <si>
    <r>
      <t xml:space="preserve">P1336       </t>
    </r>
    <r>
      <rPr>
        <sz val="12"/>
        <color theme="1"/>
        <rFont val="Calibri"/>
        <family val="2"/>
        <scheme val="minor"/>
      </rPr>
      <t>Crank / Cam Sensor Range / Performance</t>
    </r>
  </si>
  <si>
    <r>
      <t xml:space="preserve">P1340       </t>
    </r>
    <r>
      <rPr>
        <sz val="12"/>
        <color theme="1"/>
        <rFont val="Calibri"/>
        <family val="2"/>
        <scheme val="minor"/>
      </rPr>
      <t>Camshaft Position Sensor B Circuit Malfunction</t>
    </r>
  </si>
  <si>
    <r>
      <t xml:space="preserve">P1341       </t>
    </r>
    <r>
      <rPr>
        <sz val="12"/>
        <color theme="1"/>
        <rFont val="Calibri"/>
        <family val="2"/>
        <scheme val="minor"/>
      </rPr>
      <t>Camshaft Position Sensor B Range / Performance</t>
    </r>
  </si>
  <si>
    <r>
      <t xml:space="preserve">P1345       </t>
    </r>
    <r>
      <rPr>
        <sz val="12"/>
        <color theme="1"/>
        <rFont val="Calibri"/>
        <family val="2"/>
        <scheme val="minor"/>
      </rPr>
      <t>SGC (Cam Position) Sensor Circuit Malfunction/ Crankshaft Position - Camshaft Position Correlation</t>
    </r>
  </si>
  <si>
    <r>
      <t xml:space="preserve">P1346       </t>
    </r>
    <r>
      <rPr>
        <sz val="12"/>
        <color theme="1"/>
        <rFont val="Calibri"/>
        <family val="2"/>
        <scheme val="minor"/>
      </rPr>
      <t>Fuel Level Sensor B Circuit Malfunction</t>
    </r>
  </si>
  <si>
    <r>
      <t xml:space="preserve">P1347       </t>
    </r>
    <r>
      <rPr>
        <sz val="12"/>
        <color theme="1"/>
        <rFont val="Calibri"/>
        <family val="2"/>
        <scheme val="minor"/>
      </rPr>
      <t>Fuel Level Sensor B Range / Performance</t>
    </r>
  </si>
  <si>
    <r>
      <t xml:space="preserve">P1348       </t>
    </r>
    <r>
      <rPr>
        <sz val="12"/>
        <color theme="1"/>
        <rFont val="Calibri"/>
        <family val="2"/>
        <scheme val="minor"/>
      </rPr>
      <t>Fuel Level Sensor B Circuit Low</t>
    </r>
  </si>
  <si>
    <r>
      <t xml:space="preserve">P1349       </t>
    </r>
    <r>
      <rPr>
        <sz val="12"/>
        <color theme="1"/>
        <rFont val="Calibri"/>
        <family val="2"/>
        <scheme val="minor"/>
      </rPr>
      <t>Fuel Level Sensor B Circuit High</t>
    </r>
  </si>
  <si>
    <r>
      <t xml:space="preserve">P1350       </t>
    </r>
    <r>
      <rPr>
        <sz val="12"/>
        <color theme="1"/>
        <rFont val="Calibri"/>
        <family val="2"/>
        <scheme val="minor"/>
      </rPr>
      <t>Fuel Level Sensor B Intermittent/Bypass Line Monitor</t>
    </r>
  </si>
  <si>
    <r>
      <t xml:space="preserve">P1351       </t>
    </r>
    <r>
      <rPr>
        <sz val="12"/>
        <color theme="1"/>
        <rFont val="Calibri"/>
        <family val="2"/>
        <scheme val="minor"/>
      </rPr>
      <t>IDM Input Circuit Malfunction/ Ignition Coil Control Circuit High Voltage</t>
    </r>
  </si>
  <si>
    <r>
      <t xml:space="preserve">P1352       </t>
    </r>
    <r>
      <rPr>
        <sz val="12"/>
        <color theme="1"/>
        <rFont val="Calibri"/>
        <family val="2"/>
        <scheme val="minor"/>
      </rPr>
      <t>Ignition Coil A Primary Circuit Malfunction</t>
    </r>
  </si>
  <si>
    <r>
      <t xml:space="preserve">P1353       </t>
    </r>
    <r>
      <rPr>
        <sz val="12"/>
        <color theme="1"/>
        <rFont val="Calibri"/>
        <family val="2"/>
        <scheme val="minor"/>
      </rPr>
      <t>Ignition Coil B Primary Circuit Malfunction</t>
    </r>
  </si>
  <si>
    <r>
      <t xml:space="preserve">P1354       </t>
    </r>
    <r>
      <rPr>
        <sz val="12"/>
        <color theme="1"/>
        <rFont val="Calibri"/>
        <family val="2"/>
        <scheme val="minor"/>
      </rPr>
      <t>Ignition Coil C Primary Circuit Malfunction</t>
    </r>
  </si>
  <si>
    <r>
      <t xml:space="preserve">P1355       </t>
    </r>
    <r>
      <rPr>
        <sz val="12"/>
        <color theme="1"/>
        <rFont val="Calibri"/>
        <family val="2"/>
        <scheme val="minor"/>
      </rPr>
      <t>Ignition Coil D Primary Circuit Malfunction</t>
    </r>
  </si>
  <si>
    <r>
      <t xml:space="preserve">P1360       </t>
    </r>
    <r>
      <rPr>
        <sz val="12"/>
        <color theme="1"/>
        <rFont val="Calibri"/>
        <family val="2"/>
        <scheme val="minor"/>
      </rPr>
      <t>Ignition Coil A Secondary Circuit Malfunction</t>
    </r>
  </si>
  <si>
    <r>
      <t xml:space="preserve">P1361       </t>
    </r>
    <r>
      <rPr>
        <sz val="12"/>
        <color theme="1"/>
        <rFont val="Calibri"/>
        <family val="2"/>
        <scheme val="minor"/>
      </rPr>
      <t>Ignition Control (IC) Circuit Low Voltage</t>
    </r>
  </si>
  <si>
    <r>
      <t xml:space="preserve">P1362       </t>
    </r>
    <r>
      <rPr>
        <sz val="12"/>
        <color theme="1"/>
        <rFont val="Calibri"/>
        <family val="2"/>
        <scheme val="minor"/>
      </rPr>
      <t>Ignition Coil C Secondary Circuit Malfunction</t>
    </r>
  </si>
  <si>
    <r>
      <t xml:space="preserve">P1363       </t>
    </r>
    <r>
      <rPr>
        <sz val="12"/>
        <color theme="1"/>
        <rFont val="Calibri"/>
        <family val="2"/>
        <scheme val="minor"/>
      </rPr>
      <t>Ignition Coil D Secondary Circuit Malfunction</t>
    </r>
  </si>
  <si>
    <r>
      <t xml:space="preserve">P1364       </t>
    </r>
    <r>
      <rPr>
        <sz val="12"/>
        <color theme="1"/>
        <rFont val="Calibri"/>
        <family val="2"/>
        <scheme val="minor"/>
      </rPr>
      <t>Ignition Coil Primary Circuit Failure</t>
    </r>
  </si>
  <si>
    <r>
      <t xml:space="preserve">P1365       </t>
    </r>
    <r>
      <rPr>
        <sz val="12"/>
        <color theme="1"/>
        <rFont val="Calibri"/>
        <family val="2"/>
        <scheme val="minor"/>
      </rPr>
      <t>Ignition Coil Secondary Circuit Failure</t>
    </r>
  </si>
  <si>
    <r>
      <t xml:space="preserve">P1366       </t>
    </r>
    <r>
      <rPr>
        <sz val="12"/>
        <color theme="1"/>
        <rFont val="Calibri"/>
        <family val="2"/>
        <scheme val="minor"/>
      </rPr>
      <t>Ignition Spare</t>
    </r>
  </si>
  <si>
    <r>
      <t xml:space="preserve">P1367       </t>
    </r>
    <r>
      <rPr>
        <sz val="12"/>
        <color theme="1"/>
        <rFont val="Calibri"/>
        <family val="2"/>
        <scheme val="minor"/>
      </rPr>
      <t>Ignition Spare</t>
    </r>
  </si>
  <si>
    <r>
      <t xml:space="preserve">P1368       </t>
    </r>
    <r>
      <rPr>
        <sz val="12"/>
        <color theme="1"/>
        <rFont val="Calibri"/>
        <family val="2"/>
        <scheme val="minor"/>
      </rPr>
      <t>Ignition Spare</t>
    </r>
  </si>
  <si>
    <r>
      <t xml:space="preserve">P1369       </t>
    </r>
    <r>
      <rPr>
        <sz val="12"/>
        <color theme="1"/>
        <rFont val="Calibri"/>
        <family val="2"/>
        <scheme val="minor"/>
      </rPr>
      <t>Engine Temperature Light Monitor Failure</t>
    </r>
  </si>
  <si>
    <r>
      <t xml:space="preserve">P1370       </t>
    </r>
    <r>
      <rPr>
        <sz val="12"/>
        <color theme="1"/>
        <rFont val="Calibri"/>
        <family val="2"/>
        <scheme val="minor"/>
      </rPr>
      <t>Insufficient RMP Increase During Spark Test</t>
    </r>
  </si>
  <si>
    <r>
      <t xml:space="preserve">P1371       </t>
    </r>
    <r>
      <rPr>
        <sz val="12"/>
        <color theme="1"/>
        <rFont val="Calibri"/>
        <family val="2"/>
        <scheme val="minor"/>
      </rPr>
      <t>Ignition Coil - Cylinder 1 - Early Activation Fault</t>
    </r>
  </si>
  <si>
    <r>
      <t xml:space="preserve">P1372       </t>
    </r>
    <r>
      <rPr>
        <sz val="12"/>
        <color theme="1"/>
        <rFont val="Calibri"/>
        <family val="2"/>
        <scheme val="minor"/>
      </rPr>
      <t>Ignition Coil - Cylinder 2 - Early Activation Fault</t>
    </r>
  </si>
  <si>
    <r>
      <t xml:space="preserve">P1373       </t>
    </r>
    <r>
      <rPr>
        <sz val="12"/>
        <color theme="1"/>
        <rFont val="Calibri"/>
        <family val="2"/>
        <scheme val="minor"/>
      </rPr>
      <t>Ignition Coil - Cylinder 3 - Early Activation Fault</t>
    </r>
  </si>
  <si>
    <r>
      <t xml:space="preserve">P1374       </t>
    </r>
    <r>
      <rPr>
        <sz val="12"/>
        <color theme="1"/>
        <rFont val="Calibri"/>
        <family val="2"/>
        <scheme val="minor"/>
      </rPr>
      <t>Crankshaft Position (CKP)/Ignition Coil - Cylinder 4 - Early Activation Fault</t>
    </r>
  </si>
  <si>
    <r>
      <t xml:space="preserve">P1375       </t>
    </r>
    <r>
      <rPr>
        <sz val="12"/>
        <color theme="1"/>
        <rFont val="Calibri"/>
        <family val="2"/>
        <scheme val="minor"/>
      </rPr>
      <t>Ignition Coil - Cylinder 5 - Early Activation Fault</t>
    </r>
  </si>
  <si>
    <r>
      <t xml:space="preserve">P1376       </t>
    </r>
    <r>
      <rPr>
        <sz val="12"/>
        <color theme="1"/>
        <rFont val="Calibri"/>
        <family val="2"/>
        <scheme val="minor"/>
      </rPr>
      <t>Ignition Coil - Cylinder 6 - Early Activation Fault</t>
    </r>
  </si>
  <si>
    <r>
      <t xml:space="preserve">P1380       </t>
    </r>
    <r>
      <rPr>
        <sz val="12"/>
        <color theme="1"/>
        <rFont val="Calibri"/>
        <family val="2"/>
        <scheme val="minor"/>
      </rPr>
      <t>Misfire Detected - Rough Road Data Not Available</t>
    </r>
  </si>
  <si>
    <r>
      <t xml:space="preserve">P1381       </t>
    </r>
    <r>
      <rPr>
        <sz val="12"/>
        <color theme="1"/>
        <rFont val="Calibri"/>
        <family val="2"/>
        <scheme val="minor"/>
      </rPr>
      <t>Variable Cam Timing Overadvanced (Bank #1)/ Misfire Detected - No Communication with BCM</t>
    </r>
  </si>
  <si>
    <r>
      <t xml:space="preserve">P1382       </t>
    </r>
    <r>
      <rPr>
        <sz val="12"/>
        <color theme="1"/>
        <rFont val="Calibri"/>
        <family val="2"/>
        <scheme val="minor"/>
      </rPr>
      <t>Variable Cam Timing Solenoid #1 Circuit Malfunction</t>
    </r>
  </si>
  <si>
    <r>
      <t xml:space="preserve">P1383       </t>
    </r>
    <r>
      <rPr>
        <sz val="12"/>
        <color theme="1"/>
        <rFont val="Calibri"/>
        <family val="2"/>
        <scheme val="minor"/>
      </rPr>
      <t>Variable Cam Timing Overretarded (Bank #1)</t>
    </r>
  </si>
  <si>
    <r>
      <t xml:space="preserve">P1384       </t>
    </r>
    <r>
      <rPr>
        <sz val="12"/>
        <color theme="1"/>
        <rFont val="Calibri"/>
        <family val="2"/>
        <scheme val="minor"/>
      </rPr>
      <t>VVT Solenoid A Malfunction</t>
    </r>
  </si>
  <si>
    <r>
      <t xml:space="preserve">P1385       </t>
    </r>
    <r>
      <rPr>
        <sz val="12"/>
        <color theme="1"/>
        <rFont val="Calibri"/>
        <family val="2"/>
        <scheme val="minor"/>
      </rPr>
      <t>Variable Cam Timing Solenoid B Malfunction</t>
    </r>
  </si>
  <si>
    <r>
      <t xml:space="preserve">P1386       </t>
    </r>
    <r>
      <rPr>
        <sz val="12"/>
        <color theme="1"/>
        <rFont val="Calibri"/>
        <family val="2"/>
        <scheme val="minor"/>
      </rPr>
      <t>Variable Cam Timing Overadvanced (Bank #2)</t>
    </r>
  </si>
  <si>
    <r>
      <t xml:space="preserve">P1387       </t>
    </r>
    <r>
      <rPr>
        <sz val="12"/>
        <color theme="1"/>
        <rFont val="Calibri"/>
        <family val="2"/>
        <scheme val="minor"/>
      </rPr>
      <t>Variable Cam Timing Solenoid #2 Circuit Malfunction</t>
    </r>
  </si>
  <si>
    <r>
      <t xml:space="preserve">P1388       </t>
    </r>
    <r>
      <rPr>
        <sz val="12"/>
        <color theme="1"/>
        <rFont val="Calibri"/>
        <family val="2"/>
        <scheme val="minor"/>
      </rPr>
      <t>Variable Cam Timing Overretarded (Bank #2)</t>
    </r>
  </si>
  <si>
    <r>
      <t xml:space="preserve">P1389       </t>
    </r>
    <r>
      <rPr>
        <sz val="12"/>
        <color theme="1"/>
        <rFont val="Calibri"/>
        <family val="2"/>
        <scheme val="minor"/>
      </rPr>
      <t>Glow Plug Circuit High Side Low Input</t>
    </r>
  </si>
  <si>
    <r>
      <t xml:space="preserve">P1390       </t>
    </r>
    <r>
      <rPr>
        <sz val="12"/>
        <color theme="1"/>
        <rFont val="Calibri"/>
        <family val="2"/>
        <scheme val="minor"/>
      </rPr>
      <t>Octane Adjust Pin Out Of Self Test Range</t>
    </r>
  </si>
  <si>
    <r>
      <t xml:space="preserve">P1391       </t>
    </r>
    <r>
      <rPr>
        <sz val="12"/>
        <color theme="1"/>
        <rFont val="Calibri"/>
        <family val="2"/>
        <scheme val="minor"/>
      </rPr>
      <t>Glow Plug Circuit Low Input (Bank #1)</t>
    </r>
  </si>
  <si>
    <r>
      <t xml:space="preserve">P1392       </t>
    </r>
    <r>
      <rPr>
        <sz val="12"/>
        <color theme="1"/>
        <rFont val="Calibri"/>
        <family val="2"/>
        <scheme val="minor"/>
      </rPr>
      <t>Glow Plug Circuit High Input (Bank #1)</t>
    </r>
  </si>
  <si>
    <r>
      <t xml:space="preserve">P1393       </t>
    </r>
    <r>
      <rPr>
        <sz val="12"/>
        <color theme="1"/>
        <rFont val="Calibri"/>
        <family val="2"/>
        <scheme val="minor"/>
      </rPr>
      <t>Glow Plug Circuit Low Input (Bank #2)</t>
    </r>
  </si>
  <si>
    <r>
      <t xml:space="preserve">P1394       </t>
    </r>
    <r>
      <rPr>
        <sz val="12"/>
        <color theme="1"/>
        <rFont val="Calibri"/>
        <family val="2"/>
        <scheme val="minor"/>
      </rPr>
      <t>Glow Plug Circuit High Input (Bank #2)</t>
    </r>
  </si>
  <si>
    <r>
      <t xml:space="preserve">P1395       </t>
    </r>
    <r>
      <rPr>
        <sz val="12"/>
        <color theme="1"/>
        <rFont val="Calibri"/>
        <family val="2"/>
        <scheme val="minor"/>
      </rPr>
      <t>Glow Plug Monitor Fault (Bank #1)</t>
    </r>
  </si>
  <si>
    <r>
      <t xml:space="preserve">P1396       </t>
    </r>
    <r>
      <rPr>
        <sz val="12"/>
        <color theme="1"/>
        <rFont val="Calibri"/>
        <family val="2"/>
        <scheme val="minor"/>
      </rPr>
      <t>Glow Plug Monitor Fault (Bank #2)</t>
    </r>
  </si>
  <si>
    <r>
      <t xml:space="preserve">P1397       </t>
    </r>
    <r>
      <rPr>
        <sz val="12"/>
        <color theme="1"/>
        <rFont val="Calibri"/>
        <family val="2"/>
        <scheme val="minor"/>
      </rPr>
      <t>System Voltage Out Of Self Test Range</t>
    </r>
  </si>
  <si>
    <r>
      <t xml:space="preserve">P1398       </t>
    </r>
    <r>
      <rPr>
        <sz val="12"/>
        <color theme="1"/>
        <rFont val="Calibri"/>
        <family val="2"/>
        <scheme val="minor"/>
      </rPr>
      <t>VVT Solenoid B Circuit High Input</t>
    </r>
  </si>
  <si>
    <r>
      <t xml:space="preserve">P1399       </t>
    </r>
    <r>
      <rPr>
        <sz val="12"/>
        <color theme="1"/>
        <rFont val="Calibri"/>
        <family val="2"/>
        <scheme val="minor"/>
      </rPr>
      <t>Glow Plug Circuit High Side, High Input</t>
    </r>
  </si>
  <si>
    <r>
      <t xml:space="preserve">P1400       </t>
    </r>
    <r>
      <rPr>
        <sz val="12"/>
        <color theme="1"/>
        <rFont val="Calibri"/>
        <family val="2"/>
        <scheme val="minor"/>
      </rPr>
      <t>DPFE Circuit Low Input</t>
    </r>
  </si>
  <si>
    <r>
      <t xml:space="preserve">P1401       </t>
    </r>
    <r>
      <rPr>
        <sz val="12"/>
        <color theme="1"/>
        <rFont val="Calibri"/>
        <family val="2"/>
        <scheme val="minor"/>
      </rPr>
      <t>DPFE Circuit High Input</t>
    </r>
  </si>
  <si>
    <r>
      <t xml:space="preserve">P1402       </t>
    </r>
    <r>
      <rPr>
        <sz val="12"/>
        <color theme="1"/>
        <rFont val="Calibri"/>
        <family val="2"/>
        <scheme val="minor"/>
      </rPr>
      <t>EGR Metering Orifice Restricted</t>
    </r>
  </si>
  <si>
    <r>
      <t xml:space="preserve">P1403       </t>
    </r>
    <r>
      <rPr>
        <sz val="12"/>
        <color theme="1"/>
        <rFont val="Calibri"/>
        <family val="2"/>
        <scheme val="minor"/>
      </rPr>
      <t>DPFE Sensor Hoses Reversed</t>
    </r>
  </si>
  <si>
    <r>
      <t xml:space="preserve">P1404       </t>
    </r>
    <r>
      <rPr>
        <sz val="12"/>
        <color theme="1"/>
        <rFont val="Calibri"/>
        <family val="2"/>
        <scheme val="minor"/>
      </rPr>
      <t>IAT - B Circuit Malfunction/ Exhaust Gas Recirculation Closed Position Performance</t>
    </r>
  </si>
  <si>
    <r>
      <t xml:space="preserve">P1405       </t>
    </r>
    <r>
      <rPr>
        <sz val="12"/>
        <color theme="1"/>
        <rFont val="Calibri"/>
        <family val="2"/>
        <scheme val="minor"/>
      </rPr>
      <t>DPFE Sensor Upstream Hose Off Or Plugged</t>
    </r>
  </si>
  <si>
    <r>
      <t xml:space="preserve">P1406       </t>
    </r>
    <r>
      <rPr>
        <sz val="12"/>
        <color theme="1"/>
        <rFont val="Calibri"/>
        <family val="2"/>
        <scheme val="minor"/>
      </rPr>
      <t>Exhaust Gas Recirculation (EGR) Position Sensor Performance</t>
    </r>
  </si>
  <si>
    <r>
      <t xml:space="preserve">P1407       </t>
    </r>
    <r>
      <rPr>
        <sz val="12"/>
        <color theme="1"/>
        <rFont val="Calibri"/>
        <family val="2"/>
        <scheme val="minor"/>
      </rPr>
      <t>EGR No Flow Detected</t>
    </r>
  </si>
  <si>
    <r>
      <t xml:space="preserve">P1408       </t>
    </r>
    <r>
      <rPr>
        <sz val="12"/>
        <color theme="1"/>
        <rFont val="Calibri"/>
        <family val="2"/>
        <scheme val="minor"/>
      </rPr>
      <t>EGR Flow Out Of Self Test Range</t>
    </r>
  </si>
  <si>
    <r>
      <t xml:space="preserve">P1409       </t>
    </r>
    <r>
      <rPr>
        <sz val="12"/>
        <color theme="1"/>
        <rFont val="Calibri"/>
        <family val="2"/>
        <scheme val="minor"/>
      </rPr>
      <t>EVR Control Circuit Malfunction</t>
    </r>
  </si>
  <si>
    <r>
      <t xml:space="preserve">P1411       </t>
    </r>
    <r>
      <rPr>
        <sz val="12"/>
        <color theme="1"/>
        <rFont val="Calibri"/>
        <family val="2"/>
        <scheme val="minor"/>
      </rPr>
      <t>SAI System Incorrect Downstream Flow Detected</t>
    </r>
  </si>
  <si>
    <r>
      <t xml:space="preserve">P1413       </t>
    </r>
    <r>
      <rPr>
        <sz val="12"/>
        <color theme="1"/>
        <rFont val="Calibri"/>
        <family val="2"/>
        <scheme val="minor"/>
      </rPr>
      <t>SAI System Monitor Circuit Low Input</t>
    </r>
  </si>
  <si>
    <r>
      <t xml:space="preserve">P1414       </t>
    </r>
    <r>
      <rPr>
        <sz val="12"/>
        <color theme="1"/>
        <rFont val="Calibri"/>
        <family val="2"/>
        <scheme val="minor"/>
      </rPr>
      <t>SAI System Monitor Circuit High Input</t>
    </r>
  </si>
  <si>
    <r>
      <t xml:space="preserve">P1415       </t>
    </r>
    <r>
      <rPr>
        <sz val="12"/>
        <color theme="1"/>
        <rFont val="Calibri"/>
        <family val="2"/>
        <scheme val="minor"/>
      </rPr>
      <t>Air Pump Circuit Malfunction/ (AIR) System Bank 1</t>
    </r>
  </si>
  <si>
    <r>
      <t xml:space="preserve">P1416       </t>
    </r>
    <r>
      <rPr>
        <sz val="12"/>
        <color theme="1"/>
        <rFont val="Calibri"/>
        <family val="2"/>
        <scheme val="minor"/>
      </rPr>
      <t>Port Air Circuit Malfunction/ (AIR) System Bank 2</t>
    </r>
  </si>
  <si>
    <r>
      <t xml:space="preserve">P1417       </t>
    </r>
    <r>
      <rPr>
        <sz val="12"/>
        <color theme="1"/>
        <rFont val="Calibri"/>
        <family val="2"/>
        <scheme val="minor"/>
      </rPr>
      <t>Port Air Relief Circuit Malfunction</t>
    </r>
  </si>
  <si>
    <r>
      <t xml:space="preserve">P1418       </t>
    </r>
    <r>
      <rPr>
        <sz val="12"/>
        <color theme="1"/>
        <rFont val="Calibri"/>
        <family val="2"/>
        <scheme val="minor"/>
      </rPr>
      <t>Split Air #1 Circuit Malfunction</t>
    </r>
  </si>
  <si>
    <r>
      <t xml:space="preserve">P1419       </t>
    </r>
    <r>
      <rPr>
        <sz val="12"/>
        <color theme="1"/>
        <rFont val="Calibri"/>
        <family val="2"/>
        <scheme val="minor"/>
      </rPr>
      <t>Split Air #2 Circuit Malfunction</t>
    </r>
  </si>
  <si>
    <r>
      <t xml:space="preserve">P1420       </t>
    </r>
    <r>
      <rPr>
        <sz val="12"/>
        <color theme="1"/>
        <rFont val="Calibri"/>
        <family val="2"/>
        <scheme val="minor"/>
      </rPr>
      <t>Catalyst Temperature Sensor Failure</t>
    </r>
  </si>
  <si>
    <r>
      <t xml:space="preserve">P1421       </t>
    </r>
    <r>
      <rPr>
        <sz val="12"/>
        <color theme="1"/>
        <rFont val="Calibri"/>
        <family val="2"/>
        <scheme val="minor"/>
      </rPr>
      <t>Catalyst Damage</t>
    </r>
  </si>
  <si>
    <r>
      <t xml:space="preserve">P1422       </t>
    </r>
    <r>
      <rPr>
        <sz val="12"/>
        <color theme="1"/>
        <rFont val="Calibri"/>
        <family val="2"/>
        <scheme val="minor"/>
      </rPr>
      <t>EGI Temperature Sensor Failure</t>
    </r>
  </si>
  <si>
    <r>
      <t xml:space="preserve">P1423       </t>
    </r>
    <r>
      <rPr>
        <sz val="12"/>
        <color theme="1"/>
        <rFont val="Calibri"/>
        <family val="2"/>
        <scheme val="minor"/>
      </rPr>
      <t>EGI Functionality Test Failed</t>
    </r>
  </si>
  <si>
    <r>
      <t xml:space="preserve">P1424       </t>
    </r>
    <r>
      <rPr>
        <sz val="12"/>
        <color theme="1"/>
        <rFont val="Calibri"/>
        <family val="2"/>
        <scheme val="minor"/>
      </rPr>
      <t>EGI Glow Plug Primary Failure</t>
    </r>
  </si>
  <si>
    <r>
      <t xml:space="preserve">P1425       </t>
    </r>
    <r>
      <rPr>
        <sz val="12"/>
        <color theme="1"/>
        <rFont val="Calibri"/>
        <family val="2"/>
        <scheme val="minor"/>
      </rPr>
      <t>EGI Glow Plug Secondary Failure</t>
    </r>
  </si>
  <si>
    <r>
      <t xml:space="preserve">P1426       </t>
    </r>
    <r>
      <rPr>
        <sz val="12"/>
        <color theme="1"/>
        <rFont val="Calibri"/>
        <family val="2"/>
        <scheme val="minor"/>
      </rPr>
      <t>EGI Mini - MAF Failed Out Of Range</t>
    </r>
  </si>
  <si>
    <r>
      <t xml:space="preserve">P1427       </t>
    </r>
    <r>
      <rPr>
        <sz val="12"/>
        <color theme="1"/>
        <rFont val="Calibri"/>
        <family val="2"/>
        <scheme val="minor"/>
      </rPr>
      <t>EGI Mini - MAF Failed Short Circuit</t>
    </r>
  </si>
  <si>
    <r>
      <t xml:space="preserve">P1428       </t>
    </r>
    <r>
      <rPr>
        <sz val="12"/>
        <color theme="1"/>
        <rFont val="Calibri"/>
        <family val="2"/>
        <scheme val="minor"/>
      </rPr>
      <t>EGI Mini - MAF Failed Open Circuit</t>
    </r>
  </si>
  <si>
    <r>
      <t xml:space="preserve">P1429       </t>
    </r>
    <r>
      <rPr>
        <sz val="12"/>
        <color theme="1"/>
        <rFont val="Calibri"/>
        <family val="2"/>
        <scheme val="minor"/>
      </rPr>
      <t>Electric Air Pump Primary Failure</t>
    </r>
  </si>
  <si>
    <r>
      <t xml:space="preserve">P1430       </t>
    </r>
    <r>
      <rPr>
        <sz val="12"/>
        <color theme="1"/>
        <rFont val="Calibri"/>
        <family val="2"/>
        <scheme val="minor"/>
      </rPr>
      <t>Electric Air Pump Secondary Failure</t>
    </r>
  </si>
  <si>
    <r>
      <t xml:space="preserve">P1433       </t>
    </r>
    <r>
      <rPr>
        <sz val="12"/>
        <color theme="1"/>
        <rFont val="Calibri"/>
        <family val="2"/>
        <scheme val="minor"/>
      </rPr>
      <t>A/C Refrigerant Temperature Circuit Low</t>
    </r>
  </si>
  <si>
    <r>
      <t xml:space="preserve">P1434       </t>
    </r>
    <r>
      <rPr>
        <sz val="12"/>
        <color theme="1"/>
        <rFont val="Calibri"/>
        <family val="2"/>
        <scheme val="minor"/>
      </rPr>
      <t>A/C Refrigerant Temperature Circuit High</t>
    </r>
  </si>
  <si>
    <r>
      <t xml:space="preserve">P1435       </t>
    </r>
    <r>
      <rPr>
        <sz val="12"/>
        <color theme="1"/>
        <rFont val="Calibri"/>
        <family val="2"/>
        <scheme val="minor"/>
      </rPr>
      <t>A/C Refrigerant Temperature Circuit Range/Performance</t>
    </r>
  </si>
  <si>
    <r>
      <t xml:space="preserve">P1436       </t>
    </r>
    <r>
      <rPr>
        <sz val="12"/>
        <color theme="1"/>
        <rFont val="Calibri"/>
        <family val="2"/>
        <scheme val="minor"/>
      </rPr>
      <t>A/C Evaporator Air Temperature Circuit Low</t>
    </r>
  </si>
  <si>
    <r>
      <t xml:space="preserve">P1437       </t>
    </r>
    <r>
      <rPr>
        <sz val="12"/>
        <color theme="1"/>
        <rFont val="Calibri"/>
        <family val="2"/>
        <scheme val="minor"/>
      </rPr>
      <t>A/C Evaporator Air Temperature Circuit High</t>
    </r>
  </si>
  <si>
    <r>
      <t xml:space="preserve">P1438       </t>
    </r>
    <r>
      <rPr>
        <sz val="12"/>
        <color theme="1"/>
        <rFont val="Calibri"/>
        <family val="2"/>
        <scheme val="minor"/>
      </rPr>
      <t>A/C Evaporator Air Temperature Circuit Range/Performance</t>
    </r>
  </si>
  <si>
    <r>
      <t xml:space="preserve">P1439       </t>
    </r>
    <r>
      <rPr>
        <sz val="12"/>
        <color theme="1"/>
        <rFont val="Calibri"/>
        <family val="2"/>
        <scheme val="minor"/>
      </rPr>
      <t>Floor Temperature Switch Circuit Malfunction</t>
    </r>
  </si>
  <si>
    <r>
      <t xml:space="preserve">P1440       </t>
    </r>
    <r>
      <rPr>
        <sz val="12"/>
        <color theme="1"/>
        <rFont val="Calibri"/>
        <family val="2"/>
        <scheme val="minor"/>
      </rPr>
      <t>Purge Valve Stuck Open</t>
    </r>
  </si>
  <si>
    <r>
      <t xml:space="preserve">P1441       </t>
    </r>
    <r>
      <rPr>
        <sz val="12"/>
        <color theme="1"/>
        <rFont val="Calibri"/>
        <family val="2"/>
        <scheme val="minor"/>
      </rPr>
      <t>Evaporative Emission (EVAP) System Flow During Non-Purge Chevrolet Only</t>
    </r>
  </si>
  <si>
    <r>
      <t xml:space="preserve">P1441       </t>
    </r>
    <r>
      <rPr>
        <sz val="12"/>
        <color theme="1"/>
        <rFont val="Calibri"/>
        <family val="2"/>
        <scheme val="minor"/>
      </rPr>
      <t>Evaporative Emission (EVAP) System Flow During Non-Purge Oldsmobile Only</t>
    </r>
  </si>
  <si>
    <r>
      <t xml:space="preserve">P1442       </t>
    </r>
    <r>
      <rPr>
        <sz val="12"/>
        <color theme="1"/>
        <rFont val="Calibri"/>
        <family val="2"/>
        <scheme val="minor"/>
      </rPr>
      <t>Evaporative Emission Control System Leak Detected</t>
    </r>
  </si>
  <si>
    <r>
      <t xml:space="preserve">P1443       </t>
    </r>
    <r>
      <rPr>
        <sz val="12"/>
        <color theme="1"/>
        <rFont val="Calibri"/>
        <family val="2"/>
        <scheme val="minor"/>
      </rPr>
      <t>Evaporative Emission Control System Control Valve</t>
    </r>
  </si>
  <si>
    <r>
      <t xml:space="preserve">P1444       </t>
    </r>
    <r>
      <rPr>
        <sz val="12"/>
        <color theme="1"/>
        <rFont val="Calibri"/>
        <family val="2"/>
        <scheme val="minor"/>
      </rPr>
      <t>Purge Flow Sensor Circuit Low Input</t>
    </r>
  </si>
  <si>
    <r>
      <t xml:space="preserve">P1445       </t>
    </r>
    <r>
      <rPr>
        <sz val="12"/>
        <color theme="1"/>
        <rFont val="Calibri"/>
        <family val="2"/>
        <scheme val="minor"/>
      </rPr>
      <t>Purge Flow Sensor Circuit High Input</t>
    </r>
  </si>
  <si>
    <r>
      <t xml:space="preserve">P1446       </t>
    </r>
    <r>
      <rPr>
        <sz val="12"/>
        <color theme="1"/>
        <rFont val="Calibri"/>
        <family val="2"/>
        <scheme val="minor"/>
      </rPr>
      <t>Evaporative Vac Solenoid Circuit Malfunction</t>
    </r>
  </si>
  <si>
    <r>
      <t xml:space="preserve">P1447       </t>
    </r>
    <r>
      <rPr>
        <sz val="12"/>
        <color theme="1"/>
        <rFont val="Calibri"/>
        <family val="2"/>
        <scheme val="minor"/>
      </rPr>
      <t>ELC System Closure Valve Flow Fault</t>
    </r>
  </si>
  <si>
    <r>
      <t xml:space="preserve">P1448       </t>
    </r>
    <r>
      <rPr>
        <sz val="12"/>
        <color theme="1"/>
        <rFont val="Calibri"/>
        <family val="2"/>
        <scheme val="minor"/>
      </rPr>
      <t>ELC System 2 Fault</t>
    </r>
  </si>
  <si>
    <r>
      <t xml:space="preserve">P1449       </t>
    </r>
    <r>
      <rPr>
        <sz val="12"/>
        <color theme="1"/>
        <rFont val="Calibri"/>
        <family val="2"/>
        <scheme val="minor"/>
      </rPr>
      <t>Evaporative Check Solenoid Circuit Malfunction</t>
    </r>
  </si>
  <si>
    <r>
      <t xml:space="preserve">P1450       </t>
    </r>
    <r>
      <rPr>
        <sz val="12"/>
        <color theme="1"/>
        <rFont val="Calibri"/>
        <family val="2"/>
        <scheme val="minor"/>
      </rPr>
      <t>Unable To Bleed Up Fuel Tank Vacuum</t>
    </r>
  </si>
  <si>
    <r>
      <t xml:space="preserve">P1451       </t>
    </r>
    <r>
      <rPr>
        <sz val="12"/>
        <color theme="1"/>
        <rFont val="Calibri"/>
        <family val="2"/>
        <scheme val="minor"/>
      </rPr>
      <t>Evap Emission Control Sys Vent Control Valve Circuit</t>
    </r>
  </si>
  <si>
    <r>
      <t xml:space="preserve">P1452       </t>
    </r>
    <r>
      <rPr>
        <sz val="12"/>
        <color theme="1"/>
        <rFont val="Calibri"/>
        <family val="2"/>
        <scheme val="minor"/>
      </rPr>
      <t>Unable To Bleed - Up Vacuum in Tank</t>
    </r>
  </si>
  <si>
    <r>
      <t xml:space="preserve">P1453       </t>
    </r>
    <r>
      <rPr>
        <sz val="12"/>
        <color theme="1"/>
        <rFont val="Calibri"/>
        <family val="2"/>
        <scheme val="minor"/>
      </rPr>
      <t>Fuel Tank Pressure Relief Valve Malfunction</t>
    </r>
  </si>
  <si>
    <r>
      <t xml:space="preserve">P1454       </t>
    </r>
    <r>
      <rPr>
        <sz val="12"/>
        <color theme="1"/>
        <rFont val="Calibri"/>
        <family val="2"/>
        <scheme val="minor"/>
      </rPr>
      <t>Evaporative System Vacuum Test Malfunction</t>
    </r>
  </si>
  <si>
    <r>
      <t xml:space="preserve">P1455       </t>
    </r>
    <r>
      <rPr>
        <sz val="12"/>
        <color theme="1"/>
        <rFont val="Calibri"/>
        <family val="2"/>
        <scheme val="minor"/>
      </rPr>
      <t>Evap Emission Control Sys Leak Detected (Gross Leak/No Flow)</t>
    </r>
  </si>
  <si>
    <r>
      <t xml:space="preserve">P1456       </t>
    </r>
    <r>
      <rPr>
        <sz val="12"/>
        <color theme="1"/>
        <rFont val="Calibri"/>
        <family val="2"/>
        <scheme val="minor"/>
      </rPr>
      <t>Fuel Tank Temperature Sensor Circuit Malfunction</t>
    </r>
  </si>
  <si>
    <r>
      <t xml:space="preserve">P1457       </t>
    </r>
    <r>
      <rPr>
        <sz val="12"/>
        <color theme="1"/>
        <rFont val="Calibri"/>
        <family val="2"/>
        <scheme val="minor"/>
      </rPr>
      <t>Unable To Pull Vacuum In Tank</t>
    </r>
  </si>
  <si>
    <r>
      <t xml:space="preserve">P1460       </t>
    </r>
    <r>
      <rPr>
        <sz val="12"/>
        <color theme="1"/>
        <rFont val="Calibri"/>
        <family val="2"/>
        <scheme val="minor"/>
      </rPr>
      <t>Wide open throttle A/C cutoff relay circuit</t>
    </r>
  </si>
  <si>
    <r>
      <t xml:space="preserve">P1461       </t>
    </r>
    <r>
      <rPr>
        <sz val="12"/>
        <color theme="1"/>
        <rFont val="Calibri"/>
        <family val="2"/>
        <scheme val="minor"/>
      </rPr>
      <t>A/C pressure sensor circuit voltage low</t>
    </r>
  </si>
  <si>
    <r>
      <t xml:space="preserve">P1462       </t>
    </r>
    <r>
      <rPr>
        <sz val="12"/>
        <color theme="1"/>
        <rFont val="Calibri"/>
        <family val="2"/>
        <scheme val="minor"/>
      </rPr>
      <t>A/C pressure sensor circuit voltage high</t>
    </r>
  </si>
  <si>
    <r>
      <t xml:space="preserve">P1463       </t>
    </r>
    <r>
      <rPr>
        <sz val="12"/>
        <color theme="1"/>
        <rFont val="Calibri"/>
        <family val="2"/>
        <scheme val="minor"/>
      </rPr>
      <t>A/C Pressure Sensor Insufficient Pressure Change</t>
    </r>
  </si>
  <si>
    <r>
      <t xml:space="preserve">P1464       </t>
    </r>
    <r>
      <rPr>
        <sz val="12"/>
        <color theme="1"/>
        <rFont val="Calibri"/>
        <family val="2"/>
        <scheme val="minor"/>
      </rPr>
      <t>A/C Demand Out of Self Test Range</t>
    </r>
  </si>
  <si>
    <r>
      <t xml:space="preserve">P1465       </t>
    </r>
    <r>
      <rPr>
        <sz val="12"/>
        <color theme="1"/>
        <rFont val="Calibri"/>
        <family val="2"/>
        <scheme val="minor"/>
      </rPr>
      <t>A/C Relay Circuit Malfunction</t>
    </r>
  </si>
  <si>
    <r>
      <t xml:space="preserve">P1466       </t>
    </r>
    <r>
      <rPr>
        <sz val="12"/>
        <color theme="1"/>
        <rFont val="Calibri"/>
        <family val="2"/>
        <scheme val="minor"/>
      </rPr>
      <t>A/C Refrigerant Temperature Sensor/Circuit Malfunction</t>
    </r>
  </si>
  <si>
    <r>
      <t xml:space="preserve">P1467       </t>
    </r>
    <r>
      <rPr>
        <sz val="12"/>
        <color theme="1"/>
        <rFont val="Calibri"/>
        <family val="2"/>
        <scheme val="minor"/>
      </rPr>
      <t>A/C Compressor Temperature Sensor Malfunction</t>
    </r>
  </si>
  <si>
    <r>
      <t xml:space="preserve">P1468       </t>
    </r>
    <r>
      <rPr>
        <sz val="12"/>
        <color theme="1"/>
        <rFont val="Calibri"/>
        <family val="2"/>
        <scheme val="minor"/>
      </rPr>
      <t>SSPOD Open Circuit or Closed Circuit Fault</t>
    </r>
  </si>
  <si>
    <r>
      <t xml:space="preserve">P1469       </t>
    </r>
    <r>
      <rPr>
        <sz val="12"/>
        <color theme="1"/>
        <rFont val="Calibri"/>
        <family val="2"/>
        <scheme val="minor"/>
      </rPr>
      <t>Low A/C Cycling Period</t>
    </r>
  </si>
  <si>
    <r>
      <t xml:space="preserve">P1470       </t>
    </r>
    <r>
      <rPr>
        <sz val="12"/>
        <color theme="1"/>
        <rFont val="Calibri"/>
        <family val="2"/>
        <scheme val="minor"/>
      </rPr>
      <t>A/C Cycling Period Too Short</t>
    </r>
  </si>
  <si>
    <r>
      <t xml:space="preserve">P1471       </t>
    </r>
    <r>
      <rPr>
        <sz val="12"/>
        <color theme="1"/>
        <rFont val="Calibri"/>
        <family val="2"/>
        <scheme val="minor"/>
      </rPr>
      <t>Electrodrive Fan 1 Operational Failure (Driver Side)</t>
    </r>
  </si>
  <si>
    <r>
      <t xml:space="preserve">P1472       </t>
    </r>
    <r>
      <rPr>
        <sz val="12"/>
        <color theme="1"/>
        <rFont val="Calibri"/>
        <family val="2"/>
        <scheme val="minor"/>
      </rPr>
      <t>Electrodrive Fan 2 Operational Failure (Passenger Side)</t>
    </r>
  </si>
  <si>
    <r>
      <t xml:space="preserve">P1473       </t>
    </r>
    <r>
      <rPr>
        <sz val="12"/>
        <color theme="1"/>
        <rFont val="Calibri"/>
        <family val="2"/>
        <scheme val="minor"/>
      </rPr>
      <t>Fan Secondary High With Fan(s) Off</t>
    </r>
  </si>
  <si>
    <r>
      <t xml:space="preserve">P1474       </t>
    </r>
    <r>
      <rPr>
        <sz val="12"/>
        <color theme="1"/>
        <rFont val="Calibri"/>
        <family val="2"/>
        <scheme val="minor"/>
      </rPr>
      <t>Low Fan Control Primary Circuit Malfunction</t>
    </r>
  </si>
  <si>
    <r>
      <t xml:space="preserve">P1475       </t>
    </r>
    <r>
      <rPr>
        <sz val="12"/>
        <color theme="1"/>
        <rFont val="Calibri"/>
        <family val="2"/>
        <scheme val="minor"/>
      </rPr>
      <t>Fan Relay (Low) Circuit Malfunction</t>
    </r>
  </si>
  <si>
    <r>
      <t xml:space="preserve">P1476       </t>
    </r>
    <r>
      <rPr>
        <sz val="12"/>
        <color theme="1"/>
        <rFont val="Calibri"/>
        <family val="2"/>
        <scheme val="minor"/>
      </rPr>
      <t>Fan Relay (High) Circuit Malfunction</t>
    </r>
  </si>
  <si>
    <r>
      <t xml:space="preserve">P1477       </t>
    </r>
    <r>
      <rPr>
        <sz val="12"/>
        <color theme="1"/>
        <rFont val="Calibri"/>
        <family val="2"/>
        <scheme val="minor"/>
      </rPr>
      <t>Additional Fan Relay Circuit Malfunction</t>
    </r>
  </si>
  <si>
    <r>
      <t xml:space="preserve">P1478       </t>
    </r>
    <r>
      <rPr>
        <sz val="12"/>
        <color theme="1"/>
        <rFont val="Calibri"/>
        <family val="2"/>
        <scheme val="minor"/>
      </rPr>
      <t>Cooling Fan Driver Fault</t>
    </r>
  </si>
  <si>
    <r>
      <t xml:space="preserve">P1479       </t>
    </r>
    <r>
      <rPr>
        <sz val="12"/>
        <color theme="1"/>
        <rFont val="Calibri"/>
        <family val="2"/>
        <scheme val="minor"/>
      </rPr>
      <t>High Fan Control Primary Circuit Malfunction</t>
    </r>
  </si>
  <si>
    <r>
      <t xml:space="preserve">P1480       </t>
    </r>
    <r>
      <rPr>
        <sz val="12"/>
        <color theme="1"/>
        <rFont val="Calibri"/>
        <family val="2"/>
        <scheme val="minor"/>
      </rPr>
      <t>Fan Secondary Low with Low Fan On</t>
    </r>
  </si>
  <si>
    <r>
      <t xml:space="preserve">P1481       </t>
    </r>
    <r>
      <rPr>
        <sz val="12"/>
        <color theme="1"/>
        <rFont val="Calibri"/>
        <family val="2"/>
        <scheme val="minor"/>
      </rPr>
      <t>Fan Secondary Low With High Fan On</t>
    </r>
  </si>
  <si>
    <r>
      <t xml:space="preserve">P1482       </t>
    </r>
    <r>
      <rPr>
        <sz val="12"/>
        <color theme="1"/>
        <rFont val="Calibri"/>
        <family val="2"/>
        <scheme val="minor"/>
      </rPr>
      <t>SCP</t>
    </r>
  </si>
  <si>
    <r>
      <t xml:space="preserve">P1483       </t>
    </r>
    <r>
      <rPr>
        <sz val="12"/>
        <color theme="1"/>
        <rFont val="Calibri"/>
        <family val="2"/>
        <scheme val="minor"/>
      </rPr>
      <t>Power To Fan Circuit Overcurrent</t>
    </r>
  </si>
  <si>
    <r>
      <t xml:space="preserve">P1484       </t>
    </r>
    <r>
      <rPr>
        <sz val="12"/>
        <color theme="1"/>
        <rFont val="Calibri"/>
        <family val="2"/>
        <scheme val="minor"/>
      </rPr>
      <t>Open Power To Ground VCRM</t>
    </r>
  </si>
  <si>
    <r>
      <t xml:space="preserve">P1485       </t>
    </r>
    <r>
      <rPr>
        <sz val="12"/>
        <color theme="1"/>
        <rFont val="Calibri"/>
        <family val="2"/>
        <scheme val="minor"/>
      </rPr>
      <t>EGRV Circuit Malfunction</t>
    </r>
  </si>
  <si>
    <r>
      <t xml:space="preserve">P1486       </t>
    </r>
    <r>
      <rPr>
        <sz val="12"/>
        <color theme="1"/>
        <rFont val="Calibri"/>
        <family val="2"/>
        <scheme val="minor"/>
      </rPr>
      <t>EGRA Circuit Malfunction</t>
    </r>
  </si>
  <si>
    <r>
      <t xml:space="preserve">P1487       </t>
    </r>
    <r>
      <rPr>
        <sz val="12"/>
        <color theme="1"/>
        <rFont val="Calibri"/>
        <family val="2"/>
        <scheme val="minor"/>
      </rPr>
      <t>EGRCHK Solenoid Circuit Malfunction</t>
    </r>
  </si>
  <si>
    <r>
      <t xml:space="preserve">P1490       </t>
    </r>
    <r>
      <rPr>
        <sz val="12"/>
        <color theme="1"/>
        <rFont val="Calibri"/>
        <family val="2"/>
        <scheme val="minor"/>
      </rPr>
      <t>Secondary Air Relief Solenoid Circuit Malfunction</t>
    </r>
  </si>
  <si>
    <r>
      <t xml:space="preserve">P1491       </t>
    </r>
    <r>
      <rPr>
        <sz val="12"/>
        <color theme="1"/>
        <rFont val="Calibri"/>
        <family val="2"/>
        <scheme val="minor"/>
      </rPr>
      <t>Secondary Switch Solenoid Circuit Malfunction</t>
    </r>
  </si>
  <si>
    <r>
      <t xml:space="preserve">P1492       </t>
    </r>
    <r>
      <rPr>
        <sz val="12"/>
        <color theme="1"/>
        <rFont val="Calibri"/>
        <family val="2"/>
        <scheme val="minor"/>
      </rPr>
      <t>APLSOL Solenoid Circuit Malfunction</t>
    </r>
  </si>
  <si>
    <r>
      <t xml:space="preserve">P1493       </t>
    </r>
    <r>
      <rPr>
        <sz val="12"/>
        <color theme="1"/>
        <rFont val="Calibri"/>
        <family val="2"/>
        <scheme val="minor"/>
      </rPr>
      <t>RCNT Solenoid Circuit Malfunction</t>
    </r>
  </si>
  <si>
    <r>
      <t xml:space="preserve">P1494       </t>
    </r>
    <r>
      <rPr>
        <sz val="12"/>
        <color theme="1"/>
        <rFont val="Calibri"/>
        <family val="2"/>
        <scheme val="minor"/>
      </rPr>
      <t>SPCUT Solenoid Circuit Malfunction</t>
    </r>
  </si>
  <si>
    <r>
      <t xml:space="preserve">P1495       </t>
    </r>
    <r>
      <rPr>
        <sz val="12"/>
        <color theme="1"/>
        <rFont val="Calibri"/>
        <family val="2"/>
        <scheme val="minor"/>
      </rPr>
      <t>TCSPL Solenoid Circuit Malfunction</t>
    </r>
  </si>
  <si>
    <r>
      <t xml:space="preserve">P1500       </t>
    </r>
    <r>
      <rPr>
        <sz val="12"/>
        <color theme="1"/>
        <rFont val="Calibri"/>
        <family val="2"/>
        <scheme val="minor"/>
      </rPr>
      <t>Vehicle Speed Sensor Intermittent</t>
    </r>
  </si>
  <si>
    <r>
      <t xml:space="preserve">P1501       </t>
    </r>
    <r>
      <rPr>
        <sz val="12"/>
        <color theme="1"/>
        <rFont val="Calibri"/>
        <family val="2"/>
        <scheme val="minor"/>
      </rPr>
      <t>Vehicle Speed Sensor Out Of Self Test Range</t>
    </r>
  </si>
  <si>
    <r>
      <t xml:space="preserve">P1502       </t>
    </r>
    <r>
      <rPr>
        <sz val="12"/>
        <color theme="1"/>
        <rFont val="Calibri"/>
        <family val="2"/>
        <scheme val="minor"/>
      </rPr>
      <t>Vehicle Speed Sensor Intermittent Malfunction</t>
    </r>
  </si>
  <si>
    <r>
      <t xml:space="preserve">P1503       </t>
    </r>
    <r>
      <rPr>
        <sz val="12"/>
        <color theme="1"/>
        <rFont val="Calibri"/>
        <family val="2"/>
        <scheme val="minor"/>
      </rPr>
      <t>Auxillary Speed Sensor Fault</t>
    </r>
  </si>
  <si>
    <r>
      <t xml:space="preserve">P1504       </t>
    </r>
    <r>
      <rPr>
        <sz val="12"/>
        <color theme="1"/>
        <rFont val="Calibri"/>
        <family val="2"/>
        <scheme val="minor"/>
      </rPr>
      <t>Idle Air Control Circuit Malfunction</t>
    </r>
  </si>
  <si>
    <r>
      <t xml:space="preserve">P1505       </t>
    </r>
    <r>
      <rPr>
        <sz val="12"/>
        <color theme="1"/>
        <rFont val="Calibri"/>
        <family val="2"/>
        <scheme val="minor"/>
      </rPr>
      <t>Idle Air Control System At Adaptive Clip</t>
    </r>
  </si>
  <si>
    <r>
      <t xml:space="preserve">P1506       </t>
    </r>
    <r>
      <rPr>
        <sz val="12"/>
        <color theme="1"/>
        <rFont val="Calibri"/>
        <family val="2"/>
        <scheme val="minor"/>
      </rPr>
      <t>Idle Air Control Overspeed Error</t>
    </r>
  </si>
  <si>
    <r>
      <t xml:space="preserve">P1507       </t>
    </r>
    <r>
      <rPr>
        <sz val="12"/>
        <color theme="1"/>
        <rFont val="Calibri"/>
        <family val="2"/>
        <scheme val="minor"/>
      </rPr>
      <t>Idle Air Control Underspeed Error</t>
    </r>
  </si>
  <si>
    <r>
      <t xml:space="preserve">P1508       </t>
    </r>
    <r>
      <rPr>
        <sz val="12"/>
        <color theme="1"/>
        <rFont val="Calibri"/>
        <family val="2"/>
        <scheme val="minor"/>
      </rPr>
      <t>Idle Control System Circuit Open</t>
    </r>
  </si>
  <si>
    <r>
      <t xml:space="preserve">P1509       </t>
    </r>
    <r>
      <rPr>
        <sz val="12"/>
        <color theme="1"/>
        <rFont val="Calibri"/>
        <family val="2"/>
        <scheme val="minor"/>
      </rPr>
      <t>Idle Control System Circuit Shorted</t>
    </r>
  </si>
  <si>
    <r>
      <t xml:space="preserve">P1510       </t>
    </r>
    <r>
      <rPr>
        <sz val="12"/>
        <color theme="1"/>
        <rFont val="Calibri"/>
        <family val="2"/>
        <scheme val="minor"/>
      </rPr>
      <t>Idle Signal Circuit Malfunction</t>
    </r>
  </si>
  <si>
    <r>
      <t xml:space="preserve">P1511       </t>
    </r>
    <r>
      <rPr>
        <sz val="12"/>
        <color theme="1"/>
        <rFont val="Calibri"/>
        <family val="2"/>
        <scheme val="minor"/>
      </rPr>
      <t>Idle Switch (Electric Control Throttle) Circuit Malfunction</t>
    </r>
  </si>
  <si>
    <r>
      <t xml:space="preserve">P1512       </t>
    </r>
    <r>
      <rPr>
        <sz val="12"/>
        <color theme="1"/>
        <rFont val="Calibri"/>
        <family val="2"/>
        <scheme val="minor"/>
      </rPr>
      <t>Intake Manifold Runner Control (Bank 1) Stuck Closed</t>
    </r>
  </si>
  <si>
    <r>
      <t xml:space="preserve">P1513       </t>
    </r>
    <r>
      <rPr>
        <sz val="12"/>
        <color theme="1"/>
        <rFont val="Calibri"/>
        <family val="2"/>
        <scheme val="minor"/>
      </rPr>
      <t>Intake Manifold Runner Control (Bank 2) Stuck Closed</t>
    </r>
  </si>
  <si>
    <r>
      <t xml:space="preserve">P1514       </t>
    </r>
    <r>
      <rPr>
        <sz val="12"/>
        <color theme="1"/>
        <rFont val="Calibri"/>
        <family val="2"/>
        <scheme val="minor"/>
      </rPr>
      <t>High Load Neutral/Drive Fault</t>
    </r>
  </si>
  <si>
    <r>
      <t xml:space="preserve">P1515       </t>
    </r>
    <r>
      <rPr>
        <sz val="12"/>
        <color theme="1"/>
        <rFont val="Calibri"/>
        <family val="2"/>
        <scheme val="minor"/>
      </rPr>
      <t>Electric Current Circuit Malfunction</t>
    </r>
  </si>
  <si>
    <r>
      <t xml:space="preserve">P1516       </t>
    </r>
    <r>
      <rPr>
        <sz val="12"/>
        <color theme="1"/>
        <rFont val="Calibri"/>
        <family val="2"/>
        <scheme val="minor"/>
      </rPr>
      <t>IMRC Input Error (Bank 1)</t>
    </r>
  </si>
  <si>
    <r>
      <t xml:space="preserve">P1517       </t>
    </r>
    <r>
      <rPr>
        <sz val="12"/>
        <color theme="1"/>
        <rFont val="Calibri"/>
        <family val="2"/>
        <scheme val="minor"/>
      </rPr>
      <t>IMRC Input Error (Bank 2)</t>
    </r>
  </si>
  <si>
    <r>
      <t xml:space="preserve">P1518       </t>
    </r>
    <r>
      <rPr>
        <sz val="12"/>
        <color theme="1"/>
        <rFont val="Calibri"/>
        <family val="2"/>
        <scheme val="minor"/>
      </rPr>
      <t>Intake Manifold Runner Control (Stuck Open)</t>
    </r>
  </si>
  <si>
    <r>
      <t xml:space="preserve">P1519       </t>
    </r>
    <r>
      <rPr>
        <sz val="12"/>
        <color theme="1"/>
        <rFont val="Calibri"/>
        <family val="2"/>
        <scheme val="minor"/>
      </rPr>
      <t>Intake Manifold Runner Control (Stuck Closed)</t>
    </r>
  </si>
  <si>
    <r>
      <t xml:space="preserve">P1520       </t>
    </r>
    <r>
      <rPr>
        <sz val="12"/>
        <color theme="1"/>
        <rFont val="Calibri"/>
        <family val="2"/>
        <scheme val="minor"/>
      </rPr>
      <t>Intake Manifold Runner Control Circuit Malfunction</t>
    </r>
  </si>
  <si>
    <r>
      <t xml:space="preserve">P1521       </t>
    </r>
    <r>
      <rPr>
        <sz val="12"/>
        <color theme="1"/>
        <rFont val="Calibri"/>
        <family val="2"/>
        <scheme val="minor"/>
      </rPr>
      <t>Variable Intake Solenoid #1 Circuit Malfunction</t>
    </r>
  </si>
  <si>
    <r>
      <t xml:space="preserve">P1522       </t>
    </r>
    <r>
      <rPr>
        <sz val="12"/>
        <color theme="1"/>
        <rFont val="Calibri"/>
        <family val="2"/>
        <scheme val="minor"/>
      </rPr>
      <t>Variable Intake Solenoid #2 Circuit Malfunction</t>
    </r>
  </si>
  <si>
    <r>
      <t xml:space="preserve">P1523       </t>
    </r>
    <r>
      <rPr>
        <sz val="12"/>
        <color theme="1"/>
        <rFont val="Calibri"/>
        <family val="2"/>
        <scheme val="minor"/>
      </rPr>
      <t>IVC Solenoid Circuit Malfunction</t>
    </r>
  </si>
  <si>
    <r>
      <t xml:space="preserve">P1524       </t>
    </r>
    <r>
      <rPr>
        <sz val="12"/>
        <color theme="1"/>
        <rFont val="Calibri"/>
        <family val="2"/>
        <scheme val="minor"/>
      </rPr>
      <t>Variable Intake Solenoid System</t>
    </r>
  </si>
  <si>
    <r>
      <t xml:space="preserve">P1525       </t>
    </r>
    <r>
      <rPr>
        <sz val="12"/>
        <color theme="1"/>
        <rFont val="Calibri"/>
        <family val="2"/>
        <scheme val="minor"/>
      </rPr>
      <t>Air Bypass Valve System</t>
    </r>
  </si>
  <si>
    <r>
      <t xml:space="preserve">P1526       </t>
    </r>
    <r>
      <rPr>
        <sz val="12"/>
        <color theme="1"/>
        <rFont val="Calibri"/>
        <family val="2"/>
        <scheme val="minor"/>
      </rPr>
      <t>Air Bypass System</t>
    </r>
  </si>
  <si>
    <r>
      <t xml:space="preserve">P1527       </t>
    </r>
    <r>
      <rPr>
        <sz val="12"/>
        <color theme="1"/>
        <rFont val="Calibri"/>
        <family val="2"/>
        <scheme val="minor"/>
      </rPr>
      <t>Accelerate Warmup Solenoid Circuit Malfunction</t>
    </r>
  </si>
  <si>
    <r>
      <t xml:space="preserve">P1528       </t>
    </r>
    <r>
      <rPr>
        <sz val="12"/>
        <color theme="1"/>
        <rFont val="Calibri"/>
        <family val="2"/>
        <scheme val="minor"/>
      </rPr>
      <t>Subsidiary Throttle Valve Solenoid Circuit Malfunction</t>
    </r>
  </si>
  <si>
    <r>
      <t xml:space="preserve">P1529       </t>
    </r>
    <r>
      <rPr>
        <sz val="12"/>
        <color theme="1"/>
        <rFont val="Calibri"/>
        <family val="2"/>
        <scheme val="minor"/>
      </rPr>
      <t>SCAIR Solenoid Circuit Malfunction</t>
    </r>
  </si>
  <si>
    <r>
      <t xml:space="preserve">P1530       </t>
    </r>
    <r>
      <rPr>
        <sz val="12"/>
        <color theme="1"/>
        <rFont val="Calibri"/>
        <family val="2"/>
        <scheme val="minor"/>
      </rPr>
      <t>A/C Clutch Circuit Malfunction</t>
    </r>
  </si>
  <si>
    <r>
      <t xml:space="preserve">P1531       </t>
    </r>
    <r>
      <rPr>
        <sz val="12"/>
        <color theme="1"/>
        <rFont val="Calibri"/>
        <family val="2"/>
        <scheme val="minor"/>
      </rPr>
      <t>Invalid Test - Accelerator Pedal Movement</t>
    </r>
  </si>
  <si>
    <r>
      <t xml:space="preserve">P1532       </t>
    </r>
    <r>
      <rPr>
        <sz val="12"/>
        <color theme="1"/>
        <rFont val="Calibri"/>
        <family val="2"/>
        <scheme val="minor"/>
      </rPr>
      <t>IMCC Circuit Malfunction, Bank B</t>
    </r>
  </si>
  <si>
    <r>
      <t xml:space="preserve">P1533       </t>
    </r>
    <r>
      <rPr>
        <sz val="12"/>
        <color theme="1"/>
        <rFont val="Calibri"/>
        <family val="2"/>
        <scheme val="minor"/>
      </rPr>
      <t>AAI Circuit Malfunction</t>
    </r>
  </si>
  <si>
    <r>
      <t xml:space="preserve">P1534       </t>
    </r>
    <r>
      <rPr>
        <sz val="12"/>
        <color theme="1"/>
        <rFont val="Calibri"/>
        <family val="2"/>
        <scheme val="minor"/>
      </rPr>
      <t>Inertia Switch Activated</t>
    </r>
  </si>
  <si>
    <r>
      <t xml:space="preserve">P1535       </t>
    </r>
    <r>
      <rPr>
        <sz val="12"/>
        <color theme="1"/>
        <rFont val="Calibri"/>
        <family val="2"/>
        <scheme val="minor"/>
      </rPr>
      <t>Blower Fan Speed Circuit Range/Performance</t>
    </r>
  </si>
  <si>
    <r>
      <t xml:space="preserve">P1536       </t>
    </r>
    <r>
      <rPr>
        <sz val="12"/>
        <color theme="1"/>
        <rFont val="Calibri"/>
        <family val="2"/>
        <scheme val="minor"/>
      </rPr>
      <t>Parking Brake Switch Circuit Failure</t>
    </r>
  </si>
  <si>
    <r>
      <t xml:space="preserve">P1537       </t>
    </r>
    <r>
      <rPr>
        <sz val="12"/>
        <color theme="1"/>
        <rFont val="Calibri"/>
        <family val="2"/>
        <scheme val="minor"/>
      </rPr>
      <t>Intake Manifold Runner Control (Bank 1) Stuck Open</t>
    </r>
  </si>
  <si>
    <r>
      <t xml:space="preserve">P1538       </t>
    </r>
    <r>
      <rPr>
        <sz val="12"/>
        <color theme="1"/>
        <rFont val="Calibri"/>
        <family val="2"/>
        <scheme val="minor"/>
      </rPr>
      <t>Intake Manifold Runner Control (Bank 2) Stuck Open</t>
    </r>
  </si>
  <si>
    <r>
      <t xml:space="preserve">P1539       </t>
    </r>
    <r>
      <rPr>
        <sz val="12"/>
        <color theme="1"/>
        <rFont val="Calibri"/>
        <family val="2"/>
        <scheme val="minor"/>
      </rPr>
      <t>Power To A/C Clutch Circuit Overcurrent</t>
    </r>
  </si>
  <si>
    <r>
      <t xml:space="preserve">P1540       </t>
    </r>
    <r>
      <rPr>
        <sz val="12"/>
        <color theme="1"/>
        <rFont val="Calibri"/>
        <family val="2"/>
        <scheme val="minor"/>
      </rPr>
      <t>Air Bypass Valve Circuit Malfunction</t>
    </r>
  </si>
  <si>
    <r>
      <t xml:space="preserve">P1549       </t>
    </r>
    <r>
      <rPr>
        <sz val="12"/>
        <color theme="1"/>
        <rFont val="Calibri"/>
        <family val="2"/>
        <scheme val="minor"/>
      </rPr>
      <t>IMCC Circuit Malfunction, Bank B</t>
    </r>
  </si>
  <si>
    <r>
      <t xml:space="preserve">P1550       </t>
    </r>
    <r>
      <rPr>
        <sz val="12"/>
        <color theme="1"/>
        <rFont val="Calibri"/>
        <family val="2"/>
        <scheme val="minor"/>
      </rPr>
      <t>PSPS Out Of Self Test Range</t>
    </r>
  </si>
  <si>
    <r>
      <t xml:space="preserve">P1565       </t>
    </r>
    <r>
      <rPr>
        <sz val="12"/>
        <color theme="1"/>
        <rFont val="Calibri"/>
        <family val="2"/>
        <scheme val="minor"/>
      </rPr>
      <t>Speed Control Command Switch Out of Range High</t>
    </r>
  </si>
  <si>
    <r>
      <t xml:space="preserve">P1566       </t>
    </r>
    <r>
      <rPr>
        <sz val="12"/>
        <color theme="1"/>
        <rFont val="Calibri"/>
        <family val="2"/>
        <scheme val="minor"/>
      </rPr>
      <t>Speed Control Command Switch Out of Range Low</t>
    </r>
  </si>
  <si>
    <r>
      <t xml:space="preserve">P1567       </t>
    </r>
    <r>
      <rPr>
        <sz val="12"/>
        <color theme="1"/>
        <rFont val="Calibri"/>
        <family val="2"/>
        <scheme val="minor"/>
      </rPr>
      <t>Speed Control Output Circuit Continuity</t>
    </r>
  </si>
  <si>
    <r>
      <t xml:space="preserve">P1568       </t>
    </r>
    <r>
      <rPr>
        <sz val="12"/>
        <color theme="1"/>
        <rFont val="Calibri"/>
        <family val="2"/>
        <scheme val="minor"/>
      </rPr>
      <t>Speed Control Unable to Hold Speed</t>
    </r>
  </si>
  <si>
    <r>
      <t xml:space="preserve">P1571       </t>
    </r>
    <r>
      <rPr>
        <sz val="12"/>
        <color theme="1"/>
        <rFont val="Calibri"/>
        <family val="2"/>
        <scheme val="minor"/>
      </rPr>
      <t>Brake Switch Malfunction</t>
    </r>
  </si>
  <si>
    <r>
      <t xml:space="preserve">P1572       </t>
    </r>
    <r>
      <rPr>
        <sz val="12"/>
        <color theme="1"/>
        <rFont val="Calibri"/>
        <family val="2"/>
        <scheme val="minor"/>
      </rPr>
      <t>Brake Pedal Switch Circuit Malfunction</t>
    </r>
  </si>
  <si>
    <r>
      <t xml:space="preserve">P1573       </t>
    </r>
    <r>
      <rPr>
        <sz val="12"/>
        <color theme="1"/>
        <rFont val="Calibri"/>
        <family val="2"/>
        <scheme val="minor"/>
      </rPr>
      <t>Throttle Position Not Available</t>
    </r>
  </si>
  <si>
    <r>
      <t xml:space="preserve">P1574       </t>
    </r>
    <r>
      <rPr>
        <sz val="12"/>
        <color theme="1"/>
        <rFont val="Calibri"/>
        <family val="2"/>
        <scheme val="minor"/>
      </rPr>
      <t>Throttle Position Sensor Disagreement btwn Sensors</t>
    </r>
  </si>
  <si>
    <r>
      <t xml:space="preserve">P1575       </t>
    </r>
    <r>
      <rPr>
        <sz val="12"/>
        <color theme="1"/>
        <rFont val="Calibri"/>
        <family val="2"/>
        <scheme val="minor"/>
      </rPr>
      <t>Pedal Position Out of Self Test Range</t>
    </r>
  </si>
  <si>
    <r>
      <t xml:space="preserve">P1576       </t>
    </r>
    <r>
      <rPr>
        <sz val="12"/>
        <color theme="1"/>
        <rFont val="Calibri"/>
        <family val="2"/>
        <scheme val="minor"/>
      </rPr>
      <t>Pedal Position Not Available</t>
    </r>
  </si>
  <si>
    <r>
      <t xml:space="preserve">P1577       </t>
    </r>
    <r>
      <rPr>
        <sz val="12"/>
        <color theme="1"/>
        <rFont val="Calibri"/>
        <family val="2"/>
        <scheme val="minor"/>
      </rPr>
      <t>Pedal Position Sensor Disagreement btwn Sensors</t>
    </r>
  </si>
  <si>
    <r>
      <t xml:space="preserve">P1578       </t>
    </r>
    <r>
      <rPr>
        <sz val="12"/>
        <color theme="1"/>
        <rFont val="Calibri"/>
        <family val="2"/>
        <scheme val="minor"/>
      </rPr>
      <t>ETC Power Less Than Demand</t>
    </r>
  </si>
  <si>
    <r>
      <t xml:space="preserve">P1579       </t>
    </r>
    <r>
      <rPr>
        <sz val="12"/>
        <color theme="1"/>
        <rFont val="Calibri"/>
        <family val="2"/>
        <scheme val="minor"/>
      </rPr>
      <t>ETC In Power Limiting Mode</t>
    </r>
  </si>
  <si>
    <r>
      <t xml:space="preserve">P1580       </t>
    </r>
    <r>
      <rPr>
        <sz val="12"/>
        <color theme="1"/>
        <rFont val="Calibri"/>
        <family val="2"/>
        <scheme val="minor"/>
      </rPr>
      <t>Electronic Throttle Monitor PCM Override</t>
    </r>
  </si>
  <si>
    <r>
      <t xml:space="preserve">P1581       </t>
    </r>
    <r>
      <rPr>
        <sz val="12"/>
        <color theme="1"/>
        <rFont val="Calibri"/>
        <family val="2"/>
        <scheme val="minor"/>
      </rPr>
      <t>Electronic Throttle Monitor Malfunction</t>
    </r>
  </si>
  <si>
    <r>
      <t xml:space="preserve">P1582       </t>
    </r>
    <r>
      <rPr>
        <sz val="12"/>
        <color theme="1"/>
        <rFont val="Calibri"/>
        <family val="2"/>
        <scheme val="minor"/>
      </rPr>
      <t>Electronic Throttle Monitor Data Available</t>
    </r>
  </si>
  <si>
    <r>
      <t xml:space="preserve">P1583       </t>
    </r>
    <r>
      <rPr>
        <sz val="12"/>
        <color theme="1"/>
        <rFont val="Calibri"/>
        <family val="2"/>
        <scheme val="minor"/>
      </rPr>
      <t>Electronic Throttle Monitor Cruise Disable</t>
    </r>
  </si>
  <si>
    <r>
      <t xml:space="preserve">P1584       </t>
    </r>
    <r>
      <rPr>
        <sz val="12"/>
        <color theme="1"/>
        <rFont val="Calibri"/>
        <family val="2"/>
        <scheme val="minor"/>
      </rPr>
      <t>TCU Detected IPE Circuit Malfunction</t>
    </r>
  </si>
  <si>
    <r>
      <t xml:space="preserve">P1585       </t>
    </r>
    <r>
      <rPr>
        <sz val="12"/>
        <color theme="1"/>
        <rFont val="Calibri"/>
        <family val="2"/>
        <scheme val="minor"/>
      </rPr>
      <t>Throttle Control Unit Malfunction</t>
    </r>
  </si>
  <si>
    <r>
      <t xml:space="preserve">P1586       </t>
    </r>
    <r>
      <rPr>
        <sz val="12"/>
        <color theme="1"/>
        <rFont val="Calibri"/>
        <family val="2"/>
        <scheme val="minor"/>
      </rPr>
      <t>Throttle Control Unit Throttle Position Malfunction</t>
    </r>
  </si>
  <si>
    <r>
      <t xml:space="preserve">P1587       </t>
    </r>
    <r>
      <rPr>
        <sz val="12"/>
        <color theme="1"/>
        <rFont val="Calibri"/>
        <family val="2"/>
        <scheme val="minor"/>
      </rPr>
      <t>Throttle Control Unit Modulated Command Malfunction</t>
    </r>
  </si>
  <si>
    <r>
      <t xml:space="preserve">P1588       </t>
    </r>
    <r>
      <rPr>
        <sz val="12"/>
        <color theme="1"/>
        <rFont val="Calibri"/>
        <family val="2"/>
        <scheme val="minor"/>
      </rPr>
      <t>Throttle Control Unit Detected Loss of Return Spring</t>
    </r>
  </si>
  <si>
    <r>
      <t xml:space="preserve">P1589       </t>
    </r>
    <r>
      <rPr>
        <sz val="12"/>
        <color theme="1"/>
        <rFont val="Calibri"/>
        <family val="2"/>
        <scheme val="minor"/>
      </rPr>
      <t>TCU Unable To Control Desired Throttle Angle</t>
    </r>
  </si>
  <si>
    <r>
      <t xml:space="preserve">P1600       </t>
    </r>
    <r>
      <rPr>
        <sz val="12"/>
        <color theme="1"/>
        <rFont val="Calibri"/>
        <family val="2"/>
        <scheme val="minor"/>
      </rPr>
      <t>Loss of KAM Power; Open Circuit</t>
    </r>
  </si>
  <si>
    <r>
      <t xml:space="preserve">P1601       </t>
    </r>
    <r>
      <rPr>
        <sz val="12"/>
        <color theme="1"/>
        <rFont val="Calibri"/>
        <family val="2"/>
        <scheme val="minor"/>
      </rPr>
      <t>ECM/TCM Serial Communication Error</t>
    </r>
  </si>
  <si>
    <r>
      <t xml:space="preserve">P1602       </t>
    </r>
    <r>
      <rPr>
        <sz val="12"/>
        <color theme="1"/>
        <rFont val="Calibri"/>
        <family val="2"/>
        <scheme val="minor"/>
      </rPr>
      <t>Immobilizer/ECM Communication Error</t>
    </r>
  </si>
  <si>
    <r>
      <t xml:space="preserve">P1603       </t>
    </r>
    <r>
      <rPr>
        <sz val="12"/>
        <color theme="1"/>
        <rFont val="Calibri"/>
        <family val="2"/>
        <scheme val="minor"/>
      </rPr>
      <t>EEPROM Malfunction</t>
    </r>
  </si>
  <si>
    <r>
      <t xml:space="preserve">P1604       </t>
    </r>
    <r>
      <rPr>
        <sz val="12"/>
        <color theme="1"/>
        <rFont val="Calibri"/>
        <family val="2"/>
        <scheme val="minor"/>
      </rPr>
      <t>Code Word Unregestered</t>
    </r>
  </si>
  <si>
    <r>
      <t xml:space="preserve">P1605       </t>
    </r>
    <r>
      <rPr>
        <sz val="12"/>
        <color theme="1"/>
        <rFont val="Calibri"/>
        <family val="2"/>
        <scheme val="minor"/>
      </rPr>
      <t>Keep Alive Memory Test Failure</t>
    </r>
  </si>
  <si>
    <r>
      <t xml:space="preserve">P1606       </t>
    </r>
    <r>
      <rPr>
        <sz val="12"/>
        <color theme="1"/>
        <rFont val="Calibri"/>
        <family val="2"/>
        <scheme val="minor"/>
      </rPr>
      <t>ECM Control Relay O/P Circuit Malfunction</t>
    </r>
  </si>
  <si>
    <r>
      <t xml:space="preserve">P1607       </t>
    </r>
    <r>
      <rPr>
        <sz val="12"/>
        <color theme="1"/>
        <rFont val="Calibri"/>
        <family val="2"/>
        <scheme val="minor"/>
      </rPr>
      <t>MIL O/P Circuit Malfunction</t>
    </r>
  </si>
  <si>
    <r>
      <t xml:space="preserve">P1608       </t>
    </r>
    <r>
      <rPr>
        <sz val="12"/>
        <color theme="1"/>
        <rFont val="Calibri"/>
        <family val="2"/>
        <scheme val="minor"/>
      </rPr>
      <t>Internal ECM Malfunction</t>
    </r>
  </si>
  <si>
    <r>
      <t xml:space="preserve">P1609       </t>
    </r>
    <r>
      <rPr>
        <sz val="12"/>
        <color theme="1"/>
        <rFont val="Calibri"/>
        <family val="2"/>
        <scheme val="minor"/>
      </rPr>
      <t>Diagnostic Lamp Driver Fault</t>
    </r>
  </si>
  <si>
    <r>
      <t xml:space="preserve">P1610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</si>
  <si>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P1611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</si>
  <si>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P1612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</si>
  <si>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P1613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</si>
  <si>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P1614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</si>
  <si>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P1615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</si>
  <si>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P1616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</si>
  <si>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P1617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</si>
  <si>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P1618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</si>
  <si>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P1619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</si>
  <si>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P1620       </t>
    </r>
    <r>
      <rPr>
        <sz val="12"/>
        <color theme="1"/>
        <rFont val="Calibri"/>
        <family val="2"/>
        <scheme val="minor"/>
      </rPr>
      <t>SBDS Interactive Codes</t>
    </r>
  </si>
  <si>
    <r>
      <t xml:space="preserve">P1621       </t>
    </r>
    <r>
      <rPr>
        <sz val="12"/>
        <color theme="1"/>
        <rFont val="Calibri"/>
        <family val="2"/>
        <scheme val="minor"/>
      </rPr>
      <t>Control Module Long Term Memory Performance/ Immobilizer Code Words Do Not Match</t>
    </r>
  </si>
  <si>
    <r>
      <t xml:space="preserve">P1622       </t>
    </r>
    <r>
      <rPr>
        <sz val="12"/>
        <color theme="1"/>
        <rFont val="Calibri"/>
        <family val="2"/>
        <scheme val="minor"/>
      </rPr>
      <t>Immobilizer ID Does Not Match</t>
    </r>
  </si>
  <si>
    <r>
      <t xml:space="preserve">P1623       </t>
    </r>
    <r>
      <rPr>
        <sz val="12"/>
        <color theme="1"/>
        <rFont val="Calibri"/>
        <family val="2"/>
        <scheme val="minor"/>
      </rPr>
      <t>Immobilizer Code Word/ID Number Write Failure</t>
    </r>
  </si>
  <si>
    <r>
      <t xml:space="preserve">P1624       </t>
    </r>
    <r>
      <rPr>
        <sz val="12"/>
        <color theme="1"/>
        <rFont val="Calibri"/>
        <family val="2"/>
        <scheme val="minor"/>
      </rPr>
      <t>Anti Theft System</t>
    </r>
  </si>
  <si>
    <r>
      <t xml:space="preserve">P1625       </t>
    </r>
    <r>
      <rPr>
        <sz val="12"/>
        <color theme="1"/>
        <rFont val="Calibri"/>
        <family val="2"/>
        <scheme val="minor"/>
      </rPr>
      <t>B+ Supply To VCRM Fan Circuit Malfunction</t>
    </r>
  </si>
  <si>
    <r>
      <t xml:space="preserve">P1626       </t>
    </r>
    <r>
      <rPr>
        <sz val="12"/>
        <color theme="1"/>
        <rFont val="Calibri"/>
        <family val="2"/>
        <scheme val="minor"/>
      </rPr>
      <t>Theft Deterrent Fuel Enable Signal Not Received/ B+ Supply To VCRM A/C Circuit Malfunction</t>
    </r>
  </si>
  <si>
    <r>
      <t xml:space="preserve">P1627       </t>
    </r>
    <r>
      <rPr>
        <sz val="12"/>
        <color theme="1"/>
        <rFont val="Calibri"/>
        <family val="2"/>
        <scheme val="minor"/>
      </rPr>
      <t>Module Supply Voltage Out Of Range</t>
    </r>
  </si>
  <si>
    <r>
      <t xml:space="preserve">P1628       </t>
    </r>
    <r>
      <rPr>
        <sz val="12"/>
        <color theme="1"/>
        <rFont val="Calibri"/>
        <family val="2"/>
        <scheme val="minor"/>
      </rPr>
      <t>Module Ignition Supply Input Malfunction</t>
    </r>
  </si>
  <si>
    <r>
      <t xml:space="preserve">P1629       </t>
    </r>
    <r>
      <rPr>
        <sz val="12"/>
        <color theme="1"/>
        <rFont val="Calibri"/>
        <family val="2"/>
        <scheme val="minor"/>
      </rPr>
      <t>Internal Voltage Regulator Malfunction</t>
    </r>
  </si>
  <si>
    <r>
      <t xml:space="preserve">P1630       </t>
    </r>
    <r>
      <rPr>
        <sz val="12"/>
        <color theme="1"/>
        <rFont val="Calibri"/>
        <family val="2"/>
        <scheme val="minor"/>
      </rPr>
      <t>Internal Vref Malfunction</t>
    </r>
  </si>
  <si>
    <r>
      <t xml:space="preserve">P1631       </t>
    </r>
    <r>
      <rPr>
        <sz val="12"/>
        <color theme="1"/>
        <rFont val="Calibri"/>
        <family val="2"/>
        <scheme val="minor"/>
      </rPr>
      <t>Theft Deterrent Start Enable Signal Not Correct/ Main Relay Malfunction (Power Hold)</t>
    </r>
  </si>
  <si>
    <r>
      <t xml:space="preserve">P1632       </t>
    </r>
    <r>
      <rPr>
        <sz val="12"/>
        <color theme="1"/>
        <rFont val="Calibri"/>
        <family val="2"/>
        <scheme val="minor"/>
      </rPr>
      <t>Smart Alternator Faults Sensor/Circuit Malfunction</t>
    </r>
  </si>
  <si>
    <r>
      <t xml:space="preserve">P1633       </t>
    </r>
    <r>
      <rPr>
        <sz val="12"/>
        <color theme="1"/>
        <rFont val="Calibri"/>
        <family val="2"/>
        <scheme val="minor"/>
      </rPr>
      <t>KAM Voltage Too Low</t>
    </r>
  </si>
  <si>
    <r>
      <t xml:space="preserve">P1634       </t>
    </r>
    <r>
      <rPr>
        <sz val="12"/>
        <color theme="1"/>
        <rFont val="Calibri"/>
        <family val="2"/>
        <scheme val="minor"/>
      </rPr>
      <t>Data Output Link Circuit Failure</t>
    </r>
  </si>
  <si>
    <r>
      <t xml:space="preserve">P1635       </t>
    </r>
    <r>
      <rPr>
        <sz val="12"/>
        <color theme="1"/>
        <rFont val="Calibri"/>
        <family val="2"/>
        <scheme val="minor"/>
      </rPr>
      <t>Tire / Axle Ratio Out of Acceptable Range</t>
    </r>
  </si>
  <si>
    <r>
      <t xml:space="preserve">P1636       </t>
    </r>
    <r>
      <rPr>
        <sz val="12"/>
        <color theme="1"/>
        <rFont val="Calibri"/>
        <family val="2"/>
        <scheme val="minor"/>
      </rPr>
      <t>Inductive Signature Chip Communication Error</t>
    </r>
  </si>
  <si>
    <r>
      <t xml:space="preserve">P1637       </t>
    </r>
    <r>
      <rPr>
        <sz val="12"/>
        <color theme="1"/>
        <rFont val="Calibri"/>
        <family val="2"/>
        <scheme val="minor"/>
      </rPr>
      <t>Can Link ECM/ABSCM Circuit / Network Malfunction</t>
    </r>
  </si>
  <si>
    <r>
      <t xml:space="preserve">P1638       </t>
    </r>
    <r>
      <rPr>
        <sz val="12"/>
        <color theme="1"/>
        <rFont val="Calibri"/>
        <family val="2"/>
        <scheme val="minor"/>
      </rPr>
      <t>Can Link ECM/INSTM Circuit / Network Malfunction</t>
    </r>
  </si>
  <si>
    <r>
      <t xml:space="preserve">P1639       </t>
    </r>
    <r>
      <rPr>
        <sz val="12"/>
        <color theme="1"/>
        <rFont val="Calibri"/>
        <family val="2"/>
        <scheme val="minor"/>
      </rPr>
      <t>Vehicle ID Block Corrupted or Not Programmed</t>
    </r>
  </si>
  <si>
    <r>
      <t xml:space="preserve">P1640       </t>
    </r>
    <r>
      <rPr>
        <sz val="12"/>
        <color theme="1"/>
        <rFont val="Calibri"/>
        <family val="2"/>
        <scheme val="minor"/>
      </rPr>
      <t>Powertrain DTCs Available in Another Module</t>
    </r>
  </si>
  <si>
    <r>
      <t xml:space="preserve">P1641       </t>
    </r>
    <r>
      <rPr>
        <sz val="12"/>
        <color theme="1"/>
        <rFont val="Calibri"/>
        <family val="2"/>
        <scheme val="minor"/>
      </rPr>
      <t>Fuel Pump Primary Circuit Failure</t>
    </r>
  </si>
  <si>
    <r>
      <t xml:space="preserve">P1642       </t>
    </r>
    <r>
      <rPr>
        <sz val="12"/>
        <color theme="1"/>
        <rFont val="Calibri"/>
        <family val="2"/>
        <scheme val="minor"/>
      </rPr>
      <t>Fuel Pump Monitor Circuit High Input</t>
    </r>
  </si>
  <si>
    <r>
      <t xml:space="preserve">P1643       </t>
    </r>
    <r>
      <rPr>
        <sz val="12"/>
        <color theme="1"/>
        <rFont val="Calibri"/>
        <family val="2"/>
        <scheme val="minor"/>
      </rPr>
      <t>Fuel Pump Monitor Circuit Low Input</t>
    </r>
  </si>
  <si>
    <r>
      <t xml:space="preserve">P1644       </t>
    </r>
    <r>
      <rPr>
        <sz val="12"/>
        <color theme="1"/>
        <rFont val="Calibri"/>
        <family val="2"/>
        <scheme val="minor"/>
      </rPr>
      <t>Fuel Pump Speed Control Circuit Malfunction</t>
    </r>
  </si>
  <si>
    <r>
      <t xml:space="preserve">P1645       </t>
    </r>
    <r>
      <rPr>
        <sz val="12"/>
        <color theme="1"/>
        <rFont val="Calibri"/>
        <family val="2"/>
        <scheme val="minor"/>
      </rPr>
      <t>Fuel Pump Resistor Switch Circuit Malfunction</t>
    </r>
  </si>
  <si>
    <r>
      <t xml:space="preserve">P1650       </t>
    </r>
    <r>
      <rPr>
        <sz val="12"/>
        <color theme="1"/>
        <rFont val="Calibri"/>
        <family val="2"/>
        <scheme val="minor"/>
      </rPr>
      <t>PSP Switch Out of Self Test Range</t>
    </r>
  </si>
  <si>
    <r>
      <t xml:space="preserve">P1651       </t>
    </r>
    <r>
      <rPr>
        <sz val="12"/>
        <color theme="1"/>
        <rFont val="Calibri"/>
        <family val="2"/>
        <scheme val="minor"/>
      </rPr>
      <t>PSP Switch Input Malfunction</t>
    </r>
  </si>
  <si>
    <r>
      <t xml:space="preserve">P1652       </t>
    </r>
    <r>
      <rPr>
        <sz val="12"/>
        <color theme="1"/>
        <rFont val="Calibri"/>
        <family val="2"/>
        <scheme val="minor"/>
      </rPr>
      <t>IAC Monitor Disabled by PSP Switch Failed On</t>
    </r>
  </si>
  <si>
    <r>
      <t xml:space="preserve">P1653       </t>
    </r>
    <r>
      <rPr>
        <sz val="12"/>
        <color theme="1"/>
        <rFont val="Calibri"/>
        <family val="2"/>
        <scheme val="minor"/>
      </rPr>
      <t>Power Steering Output Circuit Malfunction</t>
    </r>
  </si>
  <si>
    <r>
      <t xml:space="preserve">P1654       </t>
    </r>
    <r>
      <rPr>
        <sz val="12"/>
        <color theme="1"/>
        <rFont val="Calibri"/>
        <family val="2"/>
        <scheme val="minor"/>
      </rPr>
      <t>Recirculation Override Circuit Malfunction</t>
    </r>
  </si>
  <si>
    <r>
      <t xml:space="preserve">P1655       </t>
    </r>
    <r>
      <rPr>
        <sz val="12"/>
        <color theme="1"/>
        <rFont val="Calibri"/>
        <family val="2"/>
        <scheme val="minor"/>
      </rPr>
      <t>Starter Disable Circuit Malfunction</t>
    </r>
  </si>
  <si>
    <r>
      <t xml:space="preserve">P1660       </t>
    </r>
    <r>
      <rPr>
        <sz val="12"/>
        <color theme="1"/>
        <rFont val="Calibri"/>
        <family val="2"/>
        <scheme val="minor"/>
      </rPr>
      <t>Output Circuit Check Signal High</t>
    </r>
  </si>
  <si>
    <r>
      <t xml:space="preserve">P1661       </t>
    </r>
    <r>
      <rPr>
        <sz val="12"/>
        <color theme="1"/>
        <rFont val="Calibri"/>
        <family val="2"/>
        <scheme val="minor"/>
      </rPr>
      <t>Output Circuit Check Signal Low</t>
    </r>
  </si>
  <si>
    <r>
      <t xml:space="preserve">P1662       </t>
    </r>
    <r>
      <rPr>
        <sz val="12"/>
        <color theme="1"/>
        <rFont val="Calibri"/>
        <family val="2"/>
        <scheme val="minor"/>
      </rPr>
      <t>IDM_EN Circuit Failure</t>
    </r>
  </si>
  <si>
    <r>
      <t xml:space="preserve">P1663       </t>
    </r>
    <r>
      <rPr>
        <sz val="12"/>
        <color theme="1"/>
        <rFont val="Calibri"/>
        <family val="2"/>
        <scheme val="minor"/>
      </rPr>
      <t>Fuel Demand Command Signal Circuit Malfunction</t>
    </r>
  </si>
  <si>
    <r>
      <t xml:space="preserve">P1667       </t>
    </r>
    <r>
      <rPr>
        <sz val="12"/>
        <color theme="1"/>
        <rFont val="Calibri"/>
        <family val="2"/>
        <scheme val="minor"/>
      </rPr>
      <t>CI Circuit Malfunction</t>
    </r>
  </si>
  <si>
    <r>
      <t xml:space="preserve">P1668       </t>
    </r>
    <r>
      <rPr>
        <sz val="12"/>
        <color theme="1"/>
        <rFont val="Calibri"/>
        <family val="2"/>
        <scheme val="minor"/>
      </rPr>
      <t>PCM - IDM Communications Error</t>
    </r>
  </si>
  <si>
    <r>
      <t xml:space="preserve">P1670       </t>
    </r>
    <r>
      <rPr>
        <sz val="12"/>
        <color theme="1"/>
        <rFont val="Calibri"/>
        <family val="2"/>
        <scheme val="minor"/>
      </rPr>
      <t>Electronic Feedback Signal Not Detected</t>
    </r>
  </si>
  <si>
    <r>
      <t xml:space="preserve">P1680       </t>
    </r>
    <r>
      <rPr>
        <sz val="12"/>
        <color theme="1"/>
        <rFont val="Calibri"/>
        <family val="2"/>
        <scheme val="minor"/>
      </rPr>
      <t>Metering Oil Pump Malfunction</t>
    </r>
  </si>
  <si>
    <r>
      <t xml:space="preserve">P1681       </t>
    </r>
    <r>
      <rPr>
        <sz val="12"/>
        <color theme="1"/>
        <rFont val="Calibri"/>
        <family val="2"/>
        <scheme val="minor"/>
      </rPr>
      <t>Metering Oil Pump Malfunction</t>
    </r>
  </si>
  <si>
    <r>
      <t xml:space="preserve">P1682       </t>
    </r>
    <r>
      <rPr>
        <sz val="12"/>
        <color theme="1"/>
        <rFont val="Calibri"/>
        <family val="2"/>
        <scheme val="minor"/>
      </rPr>
      <t>Metering Oil Pump Malfunction</t>
    </r>
  </si>
  <si>
    <r>
      <t xml:space="preserve">P1683       </t>
    </r>
    <r>
      <rPr>
        <sz val="12"/>
        <color theme="1"/>
        <rFont val="Calibri"/>
        <family val="2"/>
        <scheme val="minor"/>
      </rPr>
      <t>Metering Oil Pump Temperature Sensor Circuit Malfunction</t>
    </r>
  </si>
  <si>
    <r>
      <t xml:space="preserve">P1684       </t>
    </r>
    <r>
      <rPr>
        <sz val="12"/>
        <color theme="1"/>
        <rFont val="Calibri"/>
        <family val="2"/>
        <scheme val="minor"/>
      </rPr>
      <t>Metering Oil Pump Position Sensor Circuit Malfunction</t>
    </r>
  </si>
  <si>
    <r>
      <t xml:space="preserve">P1685       </t>
    </r>
    <r>
      <rPr>
        <sz val="12"/>
        <color theme="1"/>
        <rFont val="Calibri"/>
        <family val="2"/>
        <scheme val="minor"/>
      </rPr>
      <t>Metering Oil Pump Stepping Motor Circuit Malfunction</t>
    </r>
  </si>
  <si>
    <r>
      <t xml:space="preserve">P1686       </t>
    </r>
    <r>
      <rPr>
        <sz val="12"/>
        <color theme="1"/>
        <rFont val="Calibri"/>
        <family val="2"/>
        <scheme val="minor"/>
      </rPr>
      <t>Metering Oil Pump Stepping Motor Circuit Malfunction</t>
    </r>
  </si>
  <si>
    <r>
      <t xml:space="preserve">P1687       </t>
    </r>
    <r>
      <rPr>
        <sz val="12"/>
        <color theme="1"/>
        <rFont val="Calibri"/>
        <family val="2"/>
        <scheme val="minor"/>
      </rPr>
      <t>Metering Oil Pump Stepping Motor Circuit Malfunction</t>
    </r>
  </si>
  <si>
    <r>
      <t xml:space="preserve">P1688       </t>
    </r>
    <r>
      <rPr>
        <sz val="12"/>
        <color theme="1"/>
        <rFont val="Calibri"/>
        <family val="2"/>
        <scheme val="minor"/>
      </rPr>
      <t>Metering Oil Pump Stepping Motor Circuit Malfunction</t>
    </r>
  </si>
  <si>
    <r>
      <t xml:space="preserve">P1689       </t>
    </r>
    <r>
      <rPr>
        <sz val="12"/>
        <color theme="1"/>
        <rFont val="Calibri"/>
        <family val="2"/>
        <scheme val="minor"/>
      </rPr>
      <t>Oil Pressure Control Solenoid Circuit Malfunction</t>
    </r>
  </si>
  <si>
    <r>
      <t xml:space="preserve">P1690       </t>
    </r>
    <r>
      <rPr>
        <sz val="12"/>
        <color theme="1"/>
        <rFont val="Calibri"/>
        <family val="2"/>
        <scheme val="minor"/>
      </rPr>
      <t>Wastegate Solenoid Circuit Malfunction</t>
    </r>
  </si>
  <si>
    <r>
      <t xml:space="preserve">P1691       </t>
    </r>
    <r>
      <rPr>
        <sz val="12"/>
        <color theme="1"/>
        <rFont val="Calibri"/>
        <family val="2"/>
        <scheme val="minor"/>
      </rPr>
      <t>Turbo Pressure Control Solenoid Circuit Malfunction</t>
    </r>
  </si>
  <si>
    <r>
      <t xml:space="preserve">P1692       </t>
    </r>
    <r>
      <rPr>
        <sz val="12"/>
        <color theme="1"/>
        <rFont val="Calibri"/>
        <family val="2"/>
        <scheme val="minor"/>
      </rPr>
      <t>Turbo Control Solenoid Circuit Malfunction</t>
    </r>
  </si>
  <si>
    <r>
      <t xml:space="preserve">P1693       </t>
    </r>
    <r>
      <rPr>
        <sz val="12"/>
        <color theme="1"/>
        <rFont val="Calibri"/>
        <family val="2"/>
        <scheme val="minor"/>
      </rPr>
      <t>Turbo Charge Control Circuit Malfunction</t>
    </r>
  </si>
  <si>
    <r>
      <t xml:space="preserve">P1694       </t>
    </r>
    <r>
      <rPr>
        <sz val="12"/>
        <color theme="1"/>
        <rFont val="Calibri"/>
        <family val="2"/>
        <scheme val="minor"/>
      </rPr>
      <t>Turbo Charge Relief Circuit Malfunction</t>
    </r>
  </si>
  <si>
    <r>
      <t xml:space="preserve">P1700       </t>
    </r>
    <r>
      <rPr>
        <sz val="12"/>
        <color theme="1"/>
        <rFont val="Calibri"/>
        <family val="2"/>
        <scheme val="minor"/>
      </rPr>
      <t>Transmission Indeterminate Failure (Failed to Neutral)</t>
    </r>
  </si>
  <si>
    <r>
      <t xml:space="preserve">P1701       </t>
    </r>
    <r>
      <rPr>
        <sz val="12"/>
        <color theme="1"/>
        <rFont val="Calibri"/>
        <family val="2"/>
        <scheme val="minor"/>
      </rPr>
      <t>Reverse Engagement Error</t>
    </r>
  </si>
  <si>
    <r>
      <t xml:space="preserve">P1702       </t>
    </r>
    <r>
      <rPr>
        <sz val="12"/>
        <color theme="1"/>
        <rFont val="Calibri"/>
        <family val="2"/>
        <scheme val="minor"/>
      </rPr>
      <t>TRS Circuit Intermittent Malfunction</t>
    </r>
  </si>
  <si>
    <r>
      <t xml:space="preserve">P1703       </t>
    </r>
    <r>
      <rPr>
        <sz val="12"/>
        <color theme="1"/>
        <rFont val="Calibri"/>
        <family val="2"/>
        <scheme val="minor"/>
      </rPr>
      <t>Brake Switch Out Of Self Test Range</t>
    </r>
  </si>
  <si>
    <r>
      <t xml:space="preserve">P1704       </t>
    </r>
    <r>
      <rPr>
        <sz val="12"/>
        <color theme="1"/>
        <rFont val="Calibri"/>
        <family val="2"/>
        <scheme val="minor"/>
      </rPr>
      <t>Digital TRS Failed to Transition States in KOEO / KOER</t>
    </r>
  </si>
  <si>
    <r>
      <t xml:space="preserve">P1705       </t>
    </r>
    <r>
      <rPr>
        <sz val="12"/>
        <color theme="1"/>
        <rFont val="Calibri"/>
        <family val="2"/>
        <scheme val="minor"/>
      </rPr>
      <t>Not in P or N During KOEO / KOER</t>
    </r>
  </si>
  <si>
    <r>
      <t xml:space="preserve">P1706       </t>
    </r>
    <r>
      <rPr>
        <sz val="12"/>
        <color theme="1"/>
        <rFont val="Calibri"/>
        <family val="2"/>
        <scheme val="minor"/>
      </rPr>
      <t>High Vehicle Speed Observed in Park</t>
    </r>
  </si>
  <si>
    <r>
      <t xml:space="preserve">P1707       </t>
    </r>
    <r>
      <rPr>
        <sz val="12"/>
        <color theme="1"/>
        <rFont val="Calibri"/>
        <family val="2"/>
        <scheme val="minor"/>
      </rPr>
      <t>Transfer Case Neutral Indicator Hard Fault Present</t>
    </r>
  </si>
  <si>
    <r>
      <t xml:space="preserve">P1708       </t>
    </r>
    <r>
      <rPr>
        <sz val="12"/>
        <color theme="1"/>
        <rFont val="Calibri"/>
        <family val="2"/>
        <scheme val="minor"/>
      </rPr>
      <t>Clutch Switch Circuit Malfunction</t>
    </r>
  </si>
  <si>
    <r>
      <t xml:space="preserve">P1709       </t>
    </r>
    <r>
      <rPr>
        <sz val="12"/>
        <color theme="1"/>
        <rFont val="Calibri"/>
        <family val="2"/>
        <scheme val="minor"/>
      </rPr>
      <t>PNP Switch Out Of Self Test Range</t>
    </r>
  </si>
  <si>
    <r>
      <t xml:space="preserve">P1711       </t>
    </r>
    <r>
      <rPr>
        <sz val="12"/>
        <color theme="1"/>
        <rFont val="Calibri"/>
        <family val="2"/>
        <scheme val="minor"/>
      </rPr>
      <t>TFT Sensor Out Of Self Test Range</t>
    </r>
  </si>
  <si>
    <r>
      <t xml:space="preserve">P1712       </t>
    </r>
    <r>
      <rPr>
        <sz val="12"/>
        <color theme="1"/>
        <rFont val="Calibri"/>
        <family val="2"/>
        <scheme val="minor"/>
      </rPr>
      <t>Trans Torque Reduction Request Signal Malfunction</t>
    </r>
  </si>
  <si>
    <r>
      <t xml:space="preserve">P1713       </t>
    </r>
    <r>
      <rPr>
        <sz val="12"/>
        <color theme="1"/>
        <rFont val="Calibri"/>
        <family val="2"/>
        <scheme val="minor"/>
      </rPr>
      <t>TFT Sensor In Range Failure Low Value</t>
    </r>
  </si>
  <si>
    <r>
      <t xml:space="preserve">P1714       </t>
    </r>
    <r>
      <rPr>
        <sz val="12"/>
        <color theme="1"/>
        <rFont val="Calibri"/>
        <family val="2"/>
        <scheme val="minor"/>
      </rPr>
      <t>SSA Inductive Signature Malfunction</t>
    </r>
  </si>
  <si>
    <r>
      <t xml:space="preserve">P1715       </t>
    </r>
    <r>
      <rPr>
        <sz val="12"/>
        <color theme="1"/>
        <rFont val="Calibri"/>
        <family val="2"/>
        <scheme val="minor"/>
      </rPr>
      <t>SSB Inductive Signature Malfunction</t>
    </r>
  </si>
  <si>
    <r>
      <t xml:space="preserve">P1716       </t>
    </r>
    <r>
      <rPr>
        <sz val="12"/>
        <color theme="1"/>
        <rFont val="Calibri"/>
        <family val="2"/>
        <scheme val="minor"/>
      </rPr>
      <t>SSC Inductive Signature Malfunction</t>
    </r>
  </si>
  <si>
    <r>
      <t xml:space="preserve">P1717       </t>
    </r>
    <r>
      <rPr>
        <sz val="12"/>
        <color theme="1"/>
        <rFont val="Calibri"/>
        <family val="2"/>
        <scheme val="minor"/>
      </rPr>
      <t>SSD Inductive Signature Malfunction</t>
    </r>
  </si>
  <si>
    <r>
      <t xml:space="preserve">P1718       </t>
    </r>
    <r>
      <rPr>
        <sz val="12"/>
        <color theme="1"/>
        <rFont val="Calibri"/>
        <family val="2"/>
        <scheme val="minor"/>
      </rPr>
      <t>TFT Sensor In Range Failure High</t>
    </r>
  </si>
  <si>
    <r>
      <t xml:space="preserve">P1720       </t>
    </r>
    <r>
      <rPr>
        <sz val="12"/>
        <color theme="1"/>
        <rFont val="Calibri"/>
        <family val="2"/>
        <scheme val="minor"/>
      </rPr>
      <t>Vehicle Speed (Meter) Circuit Malfunction</t>
    </r>
  </si>
  <si>
    <r>
      <t xml:space="preserve">P1721       </t>
    </r>
    <r>
      <rPr>
        <sz val="12"/>
        <color theme="1"/>
        <rFont val="Calibri"/>
        <family val="2"/>
        <scheme val="minor"/>
      </rPr>
      <t>Gear 1 Incorrect Ratio</t>
    </r>
  </si>
  <si>
    <r>
      <t xml:space="preserve">P1722       </t>
    </r>
    <r>
      <rPr>
        <sz val="12"/>
        <color theme="1"/>
        <rFont val="Calibri"/>
        <family val="2"/>
        <scheme val="minor"/>
      </rPr>
      <t>Gear 2 Incorrect Ratio</t>
    </r>
  </si>
  <si>
    <r>
      <t xml:space="preserve">P1723       </t>
    </r>
    <r>
      <rPr>
        <sz val="12"/>
        <color theme="1"/>
        <rFont val="Calibri"/>
        <family val="2"/>
        <scheme val="minor"/>
      </rPr>
      <t>Gear 3 incorrect Ratio</t>
    </r>
  </si>
  <si>
    <r>
      <t xml:space="preserve">P1724       </t>
    </r>
    <r>
      <rPr>
        <sz val="12"/>
        <color theme="1"/>
        <rFont val="Calibri"/>
        <family val="2"/>
        <scheme val="minor"/>
      </rPr>
      <t>Gear 4 Incorrect Ratio</t>
    </r>
  </si>
  <si>
    <r>
      <t xml:space="preserve">P1725       </t>
    </r>
    <r>
      <rPr>
        <sz val="12"/>
        <color theme="1"/>
        <rFont val="Calibri"/>
        <family val="2"/>
        <scheme val="minor"/>
      </rPr>
      <t>Insufficient Engine Speed Increase During Self Test</t>
    </r>
  </si>
  <si>
    <r>
      <t xml:space="preserve">P1726       </t>
    </r>
    <r>
      <rPr>
        <sz val="12"/>
        <color theme="1"/>
        <rFont val="Calibri"/>
        <family val="2"/>
        <scheme val="minor"/>
      </rPr>
      <t>Insufficient Engine Speed Decrease During Self Test</t>
    </r>
  </si>
  <si>
    <r>
      <t xml:space="preserve">P1727       </t>
    </r>
    <r>
      <rPr>
        <sz val="12"/>
        <color theme="1"/>
        <rFont val="Calibri"/>
        <family val="2"/>
        <scheme val="minor"/>
      </rPr>
      <t>Coast Clutch Solenoid Inductive Signature Malfunction</t>
    </r>
  </si>
  <si>
    <r>
      <t xml:space="preserve">P1728       </t>
    </r>
    <r>
      <rPr>
        <sz val="12"/>
        <color theme="1"/>
        <rFont val="Calibri"/>
        <family val="2"/>
        <scheme val="minor"/>
      </rPr>
      <t>Transmission Slip Error</t>
    </r>
  </si>
  <si>
    <r>
      <t xml:space="preserve">P1729       </t>
    </r>
    <r>
      <rPr>
        <sz val="12"/>
        <color theme="1"/>
        <rFont val="Calibri"/>
        <family val="2"/>
        <scheme val="minor"/>
      </rPr>
      <t>4x4 Low Switch Error</t>
    </r>
  </si>
  <si>
    <r>
      <t xml:space="preserve">P1730       </t>
    </r>
    <r>
      <rPr>
        <sz val="12"/>
        <color theme="1"/>
        <rFont val="Calibri"/>
        <family val="2"/>
        <scheme val="minor"/>
      </rPr>
      <t>Gear Control Malfunction 2,3,5</t>
    </r>
  </si>
  <si>
    <r>
      <t xml:space="preserve">P1731       </t>
    </r>
    <r>
      <rPr>
        <sz val="12"/>
        <color theme="1"/>
        <rFont val="Calibri"/>
        <family val="2"/>
        <scheme val="minor"/>
      </rPr>
      <t>1-2 Shift Malfunction</t>
    </r>
  </si>
  <si>
    <r>
      <t xml:space="preserve">P1732       </t>
    </r>
    <r>
      <rPr>
        <sz val="12"/>
        <color theme="1"/>
        <rFont val="Calibri"/>
        <family val="2"/>
        <scheme val="minor"/>
      </rPr>
      <t>2-3 Shift Malfunction</t>
    </r>
  </si>
  <si>
    <r>
      <t xml:space="preserve">P1733       </t>
    </r>
    <r>
      <rPr>
        <sz val="12"/>
        <color theme="1"/>
        <rFont val="Calibri"/>
        <family val="2"/>
        <scheme val="minor"/>
      </rPr>
      <t>3-4 Shift Malfunction</t>
    </r>
  </si>
  <si>
    <r>
      <t xml:space="preserve">P1734       </t>
    </r>
    <r>
      <rPr>
        <sz val="12"/>
        <color theme="1"/>
        <rFont val="Calibri"/>
        <family val="2"/>
        <scheme val="minor"/>
      </rPr>
      <t>Gear Control Malfunction</t>
    </r>
  </si>
  <si>
    <r>
      <t xml:space="preserve">P1735       </t>
    </r>
    <r>
      <rPr>
        <sz val="12"/>
        <color theme="1"/>
        <rFont val="Calibri"/>
        <family val="2"/>
        <scheme val="minor"/>
      </rPr>
      <t>First Gear Switch Circuit Malfunction</t>
    </r>
  </si>
  <si>
    <r>
      <t xml:space="preserve">P1736       </t>
    </r>
    <r>
      <rPr>
        <sz val="12"/>
        <color theme="1"/>
        <rFont val="Calibri"/>
        <family val="2"/>
        <scheme val="minor"/>
      </rPr>
      <t>Second Gear Switch Circuit Malfunction</t>
    </r>
  </si>
  <si>
    <r>
      <t xml:space="preserve">P1737       </t>
    </r>
    <r>
      <rPr>
        <sz val="12"/>
        <color theme="1"/>
        <rFont val="Calibri"/>
        <family val="2"/>
        <scheme val="minor"/>
      </rPr>
      <t>Lockup Solenoid System</t>
    </r>
  </si>
  <si>
    <r>
      <t xml:space="preserve">P1738       </t>
    </r>
    <r>
      <rPr>
        <sz val="12"/>
        <color theme="1"/>
        <rFont val="Calibri"/>
        <family val="2"/>
        <scheme val="minor"/>
      </rPr>
      <t>Shift Time Error</t>
    </r>
  </si>
  <si>
    <r>
      <t xml:space="preserve">P1739       </t>
    </r>
    <r>
      <rPr>
        <sz val="12"/>
        <color theme="1"/>
        <rFont val="Calibri"/>
        <family val="2"/>
        <scheme val="minor"/>
      </rPr>
      <t>Slip Solenoid System</t>
    </r>
  </si>
  <si>
    <r>
      <t xml:space="preserve">P1740       </t>
    </r>
    <r>
      <rPr>
        <sz val="12"/>
        <color theme="1"/>
        <rFont val="Calibri"/>
        <family val="2"/>
        <scheme val="minor"/>
      </rPr>
      <t>Torque Converter Clutch Inductive Signature Malfunction</t>
    </r>
  </si>
  <si>
    <r>
      <t xml:space="preserve">P1741       </t>
    </r>
    <r>
      <rPr>
        <sz val="12"/>
        <color theme="1"/>
        <rFont val="Calibri"/>
        <family val="2"/>
        <scheme val="minor"/>
      </rPr>
      <t>Torque Converter Clutch Control Error</t>
    </r>
  </si>
  <si>
    <r>
      <t xml:space="preserve">P1742       </t>
    </r>
    <r>
      <rPr>
        <sz val="12"/>
        <color theme="1"/>
        <rFont val="Calibri"/>
        <family val="2"/>
        <scheme val="minor"/>
      </rPr>
      <t>Torque Converter Clutch Solenoid Failed On</t>
    </r>
  </si>
  <si>
    <r>
      <t xml:space="preserve">P1743       </t>
    </r>
    <r>
      <rPr>
        <sz val="12"/>
        <color theme="1"/>
        <rFont val="Calibri"/>
        <family val="2"/>
        <scheme val="minor"/>
      </rPr>
      <t>Torque Converter Clutch Solenoid Failied On</t>
    </r>
  </si>
  <si>
    <r>
      <t xml:space="preserve">P1744       </t>
    </r>
    <r>
      <rPr>
        <sz val="12"/>
        <color theme="1"/>
        <rFont val="Calibri"/>
        <family val="2"/>
        <scheme val="minor"/>
      </rPr>
      <t>Torque Converter Clutch System Performance</t>
    </r>
  </si>
  <si>
    <r>
      <t xml:space="preserve">P1745       </t>
    </r>
    <r>
      <rPr>
        <sz val="12"/>
        <color theme="1"/>
        <rFont val="Calibri"/>
        <family val="2"/>
        <scheme val="minor"/>
      </rPr>
      <t>Line Pressure Solenoid System</t>
    </r>
  </si>
  <si>
    <r>
      <t xml:space="preserve">P1746       </t>
    </r>
    <r>
      <rPr>
        <sz val="12"/>
        <color theme="1"/>
        <rFont val="Calibri"/>
        <family val="2"/>
        <scheme val="minor"/>
      </rPr>
      <t>Pressure Control Solenoid "A" Open Circuit</t>
    </r>
  </si>
  <si>
    <r>
      <t xml:space="preserve">P1747       </t>
    </r>
    <r>
      <rPr>
        <sz val="12"/>
        <color theme="1"/>
        <rFont val="Calibri"/>
        <family val="2"/>
        <scheme val="minor"/>
      </rPr>
      <t>Pressure Control Solenoid "A" Short Circuit</t>
    </r>
  </si>
  <si>
    <r>
      <t xml:space="preserve">P1748       </t>
    </r>
    <r>
      <rPr>
        <sz val="12"/>
        <color theme="1"/>
        <rFont val="Calibri"/>
        <family val="2"/>
        <scheme val="minor"/>
      </rPr>
      <t>EPC Malfunction</t>
    </r>
  </si>
  <si>
    <r>
      <t xml:space="preserve">P1749       </t>
    </r>
    <r>
      <rPr>
        <sz val="12"/>
        <color theme="1"/>
        <rFont val="Calibri"/>
        <family val="2"/>
        <scheme val="minor"/>
      </rPr>
      <t>Pressure Control Solenoid Failed Low</t>
    </r>
  </si>
  <si>
    <r>
      <t xml:space="preserve">P1751       </t>
    </r>
    <r>
      <rPr>
        <sz val="12"/>
        <color theme="1"/>
        <rFont val="Calibri"/>
        <family val="2"/>
        <scheme val="minor"/>
      </rPr>
      <t>Shift Solenoid A Performance</t>
    </r>
  </si>
  <si>
    <r>
      <t xml:space="preserve">P1754       </t>
    </r>
    <r>
      <rPr>
        <sz val="12"/>
        <color theme="1"/>
        <rFont val="Calibri"/>
        <family val="2"/>
        <scheme val="minor"/>
      </rPr>
      <t>Coast Clutch Solenoid Circuit Malfunction</t>
    </r>
  </si>
  <si>
    <r>
      <t xml:space="preserve">P1755       </t>
    </r>
    <r>
      <rPr>
        <sz val="12"/>
        <color theme="1"/>
        <rFont val="Calibri"/>
        <family val="2"/>
        <scheme val="minor"/>
      </rPr>
      <t>Intermediate Speed Sensor (ISS) Malfunction</t>
    </r>
  </si>
  <si>
    <r>
      <t xml:space="preserve">P1756       </t>
    </r>
    <r>
      <rPr>
        <sz val="12"/>
        <color theme="1"/>
        <rFont val="Calibri"/>
        <family val="2"/>
        <scheme val="minor"/>
      </rPr>
      <t>Shift Solenoid B Performance</t>
    </r>
  </si>
  <si>
    <r>
      <t xml:space="preserve">P1760       </t>
    </r>
    <r>
      <rPr>
        <sz val="12"/>
        <color theme="1"/>
        <rFont val="Calibri"/>
        <family val="2"/>
        <scheme val="minor"/>
      </rPr>
      <t>Pressure Control Solenoid "A" Short Circuit</t>
    </r>
  </si>
  <si>
    <r>
      <t xml:space="preserve">P1761       </t>
    </r>
    <r>
      <rPr>
        <sz val="12"/>
        <color theme="1"/>
        <rFont val="Calibri"/>
        <family val="2"/>
        <scheme val="minor"/>
      </rPr>
      <t>Shift Solenoid C Performance</t>
    </r>
  </si>
  <si>
    <r>
      <t xml:space="preserve">P1762       </t>
    </r>
    <r>
      <rPr>
        <sz val="12"/>
        <color theme="1"/>
        <rFont val="Calibri"/>
        <family val="2"/>
        <scheme val="minor"/>
      </rPr>
      <t>Overdrive Band Failed Off</t>
    </r>
  </si>
  <si>
    <r>
      <t xml:space="preserve">P1765       </t>
    </r>
    <r>
      <rPr>
        <sz val="12"/>
        <color theme="1"/>
        <rFont val="Calibri"/>
        <family val="2"/>
        <scheme val="minor"/>
      </rPr>
      <t>Timing Solenoid Circuit Malfunction</t>
    </r>
  </si>
  <si>
    <r>
      <t xml:space="preserve">P1767       </t>
    </r>
    <r>
      <rPr>
        <sz val="12"/>
        <color theme="1"/>
        <rFont val="Calibri"/>
        <family val="2"/>
        <scheme val="minor"/>
      </rPr>
      <t>Torque Converter Clutch Circuit Malfunction</t>
    </r>
  </si>
  <si>
    <r>
      <t xml:space="preserve">P1768       </t>
    </r>
    <r>
      <rPr>
        <sz val="12"/>
        <color theme="1"/>
        <rFont val="Calibri"/>
        <family val="2"/>
        <scheme val="minor"/>
      </rPr>
      <t>Performance / Normal / Winter Mode Input Malfunction</t>
    </r>
  </si>
  <si>
    <r>
      <t xml:space="preserve">P1769       </t>
    </r>
    <r>
      <rPr>
        <sz val="12"/>
        <color theme="1"/>
        <rFont val="Calibri"/>
        <family val="2"/>
        <scheme val="minor"/>
      </rPr>
      <t>AG4 Transmission Torque Modulation Fault</t>
    </r>
  </si>
  <si>
    <r>
      <t xml:space="preserve">P1770       </t>
    </r>
    <r>
      <rPr>
        <sz val="12"/>
        <color theme="1"/>
        <rFont val="Calibri"/>
        <family val="2"/>
        <scheme val="minor"/>
      </rPr>
      <t>Clutch Solenoid Circuit Malfunction</t>
    </r>
  </si>
  <si>
    <r>
      <t xml:space="preserve">P1775       </t>
    </r>
    <r>
      <rPr>
        <sz val="12"/>
        <color theme="1"/>
        <rFont val="Calibri"/>
        <family val="2"/>
        <scheme val="minor"/>
      </rPr>
      <t>Transmission System MIL Fault</t>
    </r>
  </si>
  <si>
    <r>
      <t xml:space="preserve">P1776       </t>
    </r>
    <r>
      <rPr>
        <sz val="12"/>
        <color theme="1"/>
        <rFont val="Calibri"/>
        <family val="2"/>
        <scheme val="minor"/>
      </rPr>
      <t>Ignition Retard Request Duration Fault</t>
    </r>
  </si>
  <si>
    <r>
      <t xml:space="preserve">P1777       </t>
    </r>
    <r>
      <rPr>
        <sz val="12"/>
        <color theme="1"/>
        <rFont val="Calibri"/>
        <family val="2"/>
        <scheme val="minor"/>
      </rPr>
      <t>Ignition Retard Request Circuit Fault</t>
    </r>
  </si>
  <si>
    <r>
      <t xml:space="preserve">P1778       </t>
    </r>
    <r>
      <rPr>
        <sz val="12"/>
        <color theme="1"/>
        <rFont val="Calibri"/>
        <family val="2"/>
        <scheme val="minor"/>
      </rPr>
      <t>Transmission Reverse I/P Circuit Malfunction</t>
    </r>
  </si>
  <si>
    <r>
      <t xml:space="preserve">P1779       </t>
    </r>
    <r>
      <rPr>
        <sz val="12"/>
        <color theme="1"/>
        <rFont val="Calibri"/>
        <family val="2"/>
        <scheme val="minor"/>
      </rPr>
      <t>TCIL Circuit Malfunction</t>
    </r>
  </si>
  <si>
    <r>
      <t xml:space="preserve">P1780       </t>
    </r>
    <r>
      <rPr>
        <sz val="12"/>
        <color theme="1"/>
        <rFont val="Calibri"/>
        <family val="2"/>
        <scheme val="minor"/>
      </rPr>
      <t>Trans Control Switch (O/D Cancel) Out of Self Test Range</t>
    </r>
  </si>
  <si>
    <r>
      <t xml:space="preserve">P1781       </t>
    </r>
    <r>
      <rPr>
        <sz val="12"/>
        <color theme="1"/>
        <rFont val="Calibri"/>
        <family val="2"/>
        <scheme val="minor"/>
      </rPr>
      <t>4X4 Switch Out of Self Test Range</t>
    </r>
  </si>
  <si>
    <r>
      <t xml:space="preserve">P1782       </t>
    </r>
    <r>
      <rPr>
        <sz val="12"/>
        <color theme="1"/>
        <rFont val="Calibri"/>
        <family val="2"/>
        <scheme val="minor"/>
      </rPr>
      <t>P/ES Circuit Out Of Self Test Range</t>
    </r>
  </si>
  <si>
    <r>
      <t xml:space="preserve">P1783       </t>
    </r>
    <r>
      <rPr>
        <sz val="12"/>
        <color theme="1"/>
        <rFont val="Calibri"/>
        <family val="2"/>
        <scheme val="minor"/>
      </rPr>
      <t>Transmission Overtemperature Condition</t>
    </r>
  </si>
  <si>
    <r>
      <t xml:space="preserve">P1784       </t>
    </r>
    <r>
      <rPr>
        <sz val="12"/>
        <color theme="1"/>
        <rFont val="Calibri"/>
        <family val="2"/>
        <scheme val="minor"/>
      </rPr>
      <t>Transmission Mechanical Failure - First And Reverse</t>
    </r>
  </si>
  <si>
    <r>
      <t xml:space="preserve">P1785       </t>
    </r>
    <r>
      <rPr>
        <sz val="12"/>
        <color theme="1"/>
        <rFont val="Calibri"/>
        <family val="2"/>
        <scheme val="minor"/>
      </rPr>
      <t>Transmission Mechanical Failure - First And Second</t>
    </r>
  </si>
  <si>
    <r>
      <t xml:space="preserve">P1786       </t>
    </r>
    <r>
      <rPr>
        <sz val="12"/>
        <color theme="1"/>
        <rFont val="Calibri"/>
        <family val="2"/>
        <scheme val="minor"/>
      </rPr>
      <t>3-2 Downshift Error</t>
    </r>
  </si>
  <si>
    <r>
      <t xml:space="preserve">P1787       </t>
    </r>
    <r>
      <rPr>
        <sz val="12"/>
        <color theme="1"/>
        <rFont val="Calibri"/>
        <family val="2"/>
        <scheme val="minor"/>
      </rPr>
      <t>2-1 Downshift Error</t>
    </r>
  </si>
  <si>
    <r>
      <t xml:space="preserve">P1788       </t>
    </r>
    <r>
      <rPr>
        <sz val="12"/>
        <color theme="1"/>
        <rFont val="Calibri"/>
        <family val="2"/>
        <scheme val="minor"/>
      </rPr>
      <t>Pressure Control Solenoid "B" Open Circuit</t>
    </r>
  </si>
  <si>
    <r>
      <t xml:space="preserve">P1789       </t>
    </r>
    <r>
      <rPr>
        <sz val="12"/>
        <color theme="1"/>
        <rFont val="Calibri"/>
        <family val="2"/>
        <scheme val="minor"/>
      </rPr>
      <t>Pressure Control Solenoid "B" Short Circuit</t>
    </r>
  </si>
  <si>
    <r>
      <t xml:space="preserve">P1790       </t>
    </r>
    <r>
      <rPr>
        <sz val="12"/>
        <color theme="1"/>
        <rFont val="Calibri"/>
        <family val="2"/>
        <scheme val="minor"/>
      </rPr>
      <t>TP (Mechanical) Circuit Malfunction</t>
    </r>
  </si>
  <si>
    <r>
      <t xml:space="preserve">P1791       </t>
    </r>
    <r>
      <rPr>
        <sz val="12"/>
        <color theme="1"/>
        <rFont val="Calibri"/>
        <family val="2"/>
        <scheme val="minor"/>
      </rPr>
      <t>TP (Electric) Circuit Malfunction</t>
    </r>
  </si>
  <si>
    <r>
      <t xml:space="preserve">P1792       </t>
    </r>
    <r>
      <rPr>
        <sz val="12"/>
        <color theme="1"/>
        <rFont val="Calibri"/>
        <family val="2"/>
        <scheme val="minor"/>
      </rPr>
      <t>Barometer Pressure Circuit Malfunction</t>
    </r>
  </si>
  <si>
    <r>
      <t xml:space="preserve">P1793       </t>
    </r>
    <r>
      <rPr>
        <sz val="12"/>
        <color theme="1"/>
        <rFont val="Calibri"/>
        <family val="2"/>
        <scheme val="minor"/>
      </rPr>
      <t>Intake Air Volume Circuit Malfunction</t>
    </r>
  </si>
  <si>
    <r>
      <t xml:space="preserve">P1794       </t>
    </r>
    <r>
      <rPr>
        <sz val="12"/>
        <color theme="1"/>
        <rFont val="Calibri"/>
        <family val="2"/>
        <scheme val="minor"/>
      </rPr>
      <t>Battery Voltage Circuit Malfunction</t>
    </r>
  </si>
  <si>
    <r>
      <t xml:space="preserve">P1795       </t>
    </r>
    <r>
      <rPr>
        <sz val="12"/>
        <color theme="1"/>
        <rFont val="Calibri"/>
        <family val="2"/>
        <scheme val="minor"/>
      </rPr>
      <t>Idle Switch Circuit Malfunction</t>
    </r>
  </si>
  <si>
    <r>
      <t xml:space="preserve">P1796       </t>
    </r>
    <r>
      <rPr>
        <sz val="12"/>
        <color theme="1"/>
        <rFont val="Calibri"/>
        <family val="2"/>
        <scheme val="minor"/>
      </rPr>
      <t>Kick Down Switch Circuit Malfunction</t>
    </r>
  </si>
  <si>
    <r>
      <t xml:space="preserve">P1797       </t>
    </r>
    <r>
      <rPr>
        <sz val="12"/>
        <color theme="1"/>
        <rFont val="Calibri"/>
        <family val="2"/>
        <scheme val="minor"/>
      </rPr>
      <t>Neutral Switch Circuit Malfunction</t>
    </r>
  </si>
  <si>
    <r>
      <t xml:space="preserve">P1798       </t>
    </r>
    <r>
      <rPr>
        <sz val="12"/>
        <color theme="1"/>
        <rFont val="Calibri"/>
        <family val="2"/>
        <scheme val="minor"/>
      </rPr>
      <t>Coolant Temperature Circuit Malfunction</t>
    </r>
  </si>
  <si>
    <r>
      <t xml:space="preserve">P1799       </t>
    </r>
    <r>
      <rPr>
        <sz val="12"/>
        <color theme="1"/>
        <rFont val="Calibri"/>
        <family val="2"/>
        <scheme val="minor"/>
      </rPr>
      <t>Hold Switch Circuit Malfunction</t>
    </r>
  </si>
  <si>
    <r>
      <t xml:space="preserve">P1800       </t>
    </r>
    <r>
      <rPr>
        <sz val="12"/>
        <color theme="1"/>
        <rFont val="Calibri"/>
        <family val="2"/>
        <scheme val="minor"/>
      </rPr>
      <t>Transmission Clutch Interlock Safety Switch Circuit Failure</t>
    </r>
  </si>
  <si>
    <r>
      <t xml:space="preserve">P1801       </t>
    </r>
    <r>
      <rPr>
        <sz val="12"/>
        <color theme="1"/>
        <rFont val="Calibri"/>
        <family val="2"/>
        <scheme val="minor"/>
      </rPr>
      <t>Transmission Clutch Interlock Safety Switch Open Circuit</t>
    </r>
  </si>
  <si>
    <r>
      <t xml:space="preserve">P1802       </t>
    </r>
    <r>
      <rPr>
        <sz val="12"/>
        <color theme="1"/>
        <rFont val="Calibri"/>
        <family val="2"/>
        <scheme val="minor"/>
      </rPr>
      <t>Transmission Clutch Interlock Safety Switch Short Circuit To Battery</t>
    </r>
  </si>
  <si>
    <r>
      <t xml:space="preserve">P1803       </t>
    </r>
    <r>
      <rPr>
        <sz val="12"/>
        <color theme="1"/>
        <rFont val="Calibri"/>
        <family val="2"/>
        <scheme val="minor"/>
      </rPr>
      <t>Transmission Clutch Interlock Safety Switch Short Circuit To Ground</t>
    </r>
  </si>
  <si>
    <r>
      <t xml:space="preserve">P1804       </t>
    </r>
    <r>
      <rPr>
        <sz val="12"/>
        <color theme="1"/>
        <rFont val="Calibri"/>
        <family val="2"/>
        <scheme val="minor"/>
      </rPr>
      <t>Transmission 4-Wheel Drive High Indicator Circuit Failure</t>
    </r>
  </si>
  <si>
    <r>
      <t xml:space="preserve">P1805       </t>
    </r>
    <r>
      <rPr>
        <sz val="12"/>
        <color theme="1"/>
        <rFont val="Calibri"/>
        <family val="2"/>
        <scheme val="minor"/>
      </rPr>
      <t>Transmission 4-Wheel Drive High Indicator Open Circuit</t>
    </r>
  </si>
  <si>
    <r>
      <t xml:space="preserve">P1806       </t>
    </r>
    <r>
      <rPr>
        <sz val="12"/>
        <color theme="1"/>
        <rFont val="Calibri"/>
        <family val="2"/>
        <scheme val="minor"/>
      </rPr>
      <t>Transmission 4-Wheel Drive High Indicator Short Circuit To Battery</t>
    </r>
  </si>
  <si>
    <r>
      <t xml:space="preserve">P1807       </t>
    </r>
    <r>
      <rPr>
        <sz val="12"/>
        <color theme="1"/>
        <rFont val="Calibri"/>
        <family val="2"/>
        <scheme val="minor"/>
      </rPr>
      <t>Transmission 4-Wheel Drive High Indicator Short Circuit To Ground</t>
    </r>
  </si>
  <si>
    <r>
      <t xml:space="preserve">P1808       </t>
    </r>
    <r>
      <rPr>
        <sz val="12"/>
        <color theme="1"/>
        <rFont val="Calibri"/>
        <family val="2"/>
        <scheme val="minor"/>
      </rPr>
      <t>Transmission 4-Wheel Drive Low Indicator Circuit Failure</t>
    </r>
  </si>
  <si>
    <r>
      <t xml:space="preserve">P1809       </t>
    </r>
    <r>
      <rPr>
        <sz val="12"/>
        <color theme="1"/>
        <rFont val="Calibri"/>
        <family val="2"/>
        <scheme val="minor"/>
      </rPr>
      <t>Transmission 4-Wheel Drive Low Indicator Open Circuit</t>
    </r>
  </si>
  <si>
    <r>
      <t xml:space="preserve">P1810       </t>
    </r>
    <r>
      <rPr>
        <sz val="12"/>
        <color theme="1"/>
        <rFont val="Calibri"/>
        <family val="2"/>
        <scheme val="minor"/>
      </rPr>
      <t>TFP Valve Position Switch Circuit/ Transmission 4-Wheel Drive Low Indicator Short Circuit To Battery</t>
    </r>
  </si>
  <si>
    <r>
      <t xml:space="preserve">P1811       </t>
    </r>
    <r>
      <rPr>
        <sz val="12"/>
        <color theme="1"/>
        <rFont val="Calibri"/>
        <family val="2"/>
        <scheme val="minor"/>
      </rPr>
      <t>Transmission 4-Wheel Drive Low Indicator Short Circuit To Ground</t>
    </r>
  </si>
  <si>
    <r>
      <t xml:space="preserve">P1812       </t>
    </r>
    <r>
      <rPr>
        <sz val="12"/>
        <color theme="1"/>
        <rFont val="Calibri"/>
        <family val="2"/>
        <scheme val="minor"/>
      </rPr>
      <t>Transmission 4-Wheel Drive Mode Select Circuit Failure</t>
    </r>
  </si>
  <si>
    <r>
      <t xml:space="preserve">P1813       </t>
    </r>
    <r>
      <rPr>
        <sz val="12"/>
        <color theme="1"/>
        <rFont val="Calibri"/>
        <family val="2"/>
        <scheme val="minor"/>
      </rPr>
      <t>Transmission 4-Wheel Drive Mode Select Open Circuit</t>
    </r>
  </si>
  <si>
    <r>
      <t xml:space="preserve">P1814       </t>
    </r>
    <r>
      <rPr>
        <sz val="12"/>
        <color theme="1"/>
        <rFont val="Calibri"/>
        <family val="2"/>
        <scheme val="minor"/>
      </rPr>
      <t>Transmission 4-Wheel Drive Mode Select Short Circuit To Battery</t>
    </r>
  </si>
  <si>
    <r>
      <t xml:space="preserve">P1815       </t>
    </r>
    <r>
      <rPr>
        <sz val="12"/>
        <color theme="1"/>
        <rFont val="Calibri"/>
        <family val="2"/>
        <scheme val="minor"/>
      </rPr>
      <t>Transmission 4-Wheel Drive Mode Select Short Circuit To Ground</t>
    </r>
  </si>
  <si>
    <r>
      <t xml:space="preserve">P1816       </t>
    </r>
    <r>
      <rPr>
        <sz val="12"/>
        <color theme="1"/>
        <rFont val="Calibri"/>
        <family val="2"/>
        <scheme val="minor"/>
      </rPr>
      <t>Transmission Neutral Safety Switch Circuit Failure</t>
    </r>
  </si>
  <si>
    <r>
      <t xml:space="preserve">P1817       </t>
    </r>
    <r>
      <rPr>
        <sz val="12"/>
        <color theme="1"/>
        <rFont val="Calibri"/>
        <family val="2"/>
        <scheme val="minor"/>
      </rPr>
      <t>Transmission Neutral Safety Switch Open Circuit</t>
    </r>
  </si>
  <si>
    <r>
      <t xml:space="preserve">P1818       </t>
    </r>
    <r>
      <rPr>
        <sz val="12"/>
        <color theme="1"/>
        <rFont val="Calibri"/>
        <family val="2"/>
        <scheme val="minor"/>
      </rPr>
      <t>Transmission Neutral Safety Switch Short Circuit To Battery</t>
    </r>
  </si>
  <si>
    <r>
      <t xml:space="preserve">P1819       </t>
    </r>
    <r>
      <rPr>
        <sz val="12"/>
        <color theme="1"/>
        <rFont val="Calibri"/>
        <family val="2"/>
        <scheme val="minor"/>
      </rPr>
      <t>Transmission Neutral Safety Switch Short Circuit To Ground</t>
    </r>
  </si>
  <si>
    <r>
      <t xml:space="preserve">P1820       </t>
    </r>
    <r>
      <rPr>
        <sz val="12"/>
        <color theme="1"/>
        <rFont val="Calibri"/>
        <family val="2"/>
        <scheme val="minor"/>
      </rPr>
      <t>Transmission Transfer Case Clockwise Shift Relay Coil Circuit Failure</t>
    </r>
  </si>
  <si>
    <r>
      <t xml:space="preserve">P1821       </t>
    </r>
    <r>
      <rPr>
        <sz val="12"/>
        <color theme="1"/>
        <rFont val="Calibri"/>
        <family val="2"/>
        <scheme val="minor"/>
      </rPr>
      <t>Transmission Transfer Case Clockwise Shift Relay Coil Open Circuit</t>
    </r>
  </si>
  <si>
    <r>
      <t xml:space="preserve">P1822       </t>
    </r>
    <r>
      <rPr>
        <sz val="12"/>
        <color theme="1"/>
        <rFont val="Calibri"/>
        <family val="2"/>
        <scheme val="minor"/>
      </rPr>
      <t>Transmission Transfer Case Clockwise Shift Relay Coil Short Circuit To Battery</t>
    </r>
  </si>
  <si>
    <r>
      <t xml:space="preserve">P1823       </t>
    </r>
    <r>
      <rPr>
        <sz val="12"/>
        <color theme="1"/>
        <rFont val="Calibri"/>
        <family val="2"/>
        <scheme val="minor"/>
      </rPr>
      <t>Transmission Transfer Case Clockwise Shift Relay Coil Short Circuit To Ground</t>
    </r>
  </si>
  <si>
    <r>
      <t xml:space="preserve">P1824       </t>
    </r>
    <r>
      <rPr>
        <sz val="12"/>
        <color theme="1"/>
        <rFont val="Calibri"/>
        <family val="2"/>
        <scheme val="minor"/>
      </rPr>
      <t>Transmission 4-Wheel Drive Clutch Relay Circuit Failure</t>
    </r>
  </si>
  <si>
    <r>
      <t xml:space="preserve">P1825       </t>
    </r>
    <r>
      <rPr>
        <sz val="12"/>
        <color theme="1"/>
        <rFont val="Calibri"/>
        <family val="2"/>
        <scheme val="minor"/>
      </rPr>
      <t>Transmission 4-Wheel Drive Clutch Relay Open Circuit</t>
    </r>
  </si>
  <si>
    <r>
      <t xml:space="preserve">P1826       </t>
    </r>
    <r>
      <rPr>
        <sz val="12"/>
        <color theme="1"/>
        <rFont val="Calibri"/>
        <family val="2"/>
        <scheme val="minor"/>
      </rPr>
      <t>Transmission 4-Wheel Drive Low Clutch Relay Circuit To Battery</t>
    </r>
  </si>
  <si>
    <r>
      <t xml:space="preserve">P1827       </t>
    </r>
    <r>
      <rPr>
        <sz val="12"/>
        <color theme="1"/>
        <rFont val="Calibri"/>
        <family val="2"/>
        <scheme val="minor"/>
      </rPr>
      <t>Transmission 4-Wheel Drive Low Clutch Relay Circuit To Ground</t>
    </r>
  </si>
  <si>
    <r>
      <t xml:space="preserve">P1828       </t>
    </r>
    <r>
      <rPr>
        <sz val="12"/>
        <color theme="1"/>
        <rFont val="Calibri"/>
        <family val="2"/>
        <scheme val="minor"/>
      </rPr>
      <t>Transmission Transfer Case Counter Clockwise Shift Relay Coil Circuit Failure</t>
    </r>
  </si>
  <si>
    <r>
      <t xml:space="preserve">P1829       </t>
    </r>
    <r>
      <rPr>
        <sz val="12"/>
        <color theme="1"/>
        <rFont val="Calibri"/>
        <family val="2"/>
        <scheme val="minor"/>
      </rPr>
      <t>Transmission Transfer Case Counter Clockwise Shift Relay Coil Open Circuit</t>
    </r>
  </si>
  <si>
    <r>
      <t xml:space="preserve">P1830       </t>
    </r>
    <r>
      <rPr>
        <sz val="12"/>
        <color theme="1"/>
        <rFont val="Calibri"/>
        <family val="2"/>
        <scheme val="minor"/>
      </rPr>
      <t>Transmission Transfer Case Counter Clockwise Shift Relay Coil Short Circuit To Battery</t>
    </r>
  </si>
  <si>
    <r>
      <t xml:space="preserve">P1831       </t>
    </r>
    <r>
      <rPr>
        <sz val="12"/>
        <color theme="1"/>
        <rFont val="Calibri"/>
        <family val="2"/>
        <scheme val="minor"/>
      </rPr>
      <t>Transmission Transfer Case Counter Clockwise Shift Relay Coil Short Circuit To Ground</t>
    </r>
  </si>
  <si>
    <r>
      <t xml:space="preserve">P1832       </t>
    </r>
    <r>
      <rPr>
        <sz val="12"/>
        <color theme="1"/>
        <rFont val="Calibri"/>
        <family val="2"/>
        <scheme val="minor"/>
      </rPr>
      <t>Transmission Transfer Case Differential Lock-Up Solenoid Circuit Failure</t>
    </r>
  </si>
  <si>
    <r>
      <t xml:space="preserve">P1833       </t>
    </r>
    <r>
      <rPr>
        <sz val="12"/>
        <color theme="1"/>
        <rFont val="Calibri"/>
        <family val="2"/>
        <scheme val="minor"/>
      </rPr>
      <t>Transmission Transfer Case Differential Lock-Up Solenoid Open Circuit</t>
    </r>
  </si>
  <si>
    <r>
      <t xml:space="preserve">P1834       </t>
    </r>
    <r>
      <rPr>
        <sz val="12"/>
        <color theme="1"/>
        <rFont val="Calibri"/>
        <family val="2"/>
        <scheme val="minor"/>
      </rPr>
      <t>Transmission Transfer Case Differential Lock-Up Solenoid Short Circuit To Battery</t>
    </r>
  </si>
  <si>
    <r>
      <t xml:space="preserve">P1835       </t>
    </r>
    <r>
      <rPr>
        <sz val="12"/>
        <color theme="1"/>
        <rFont val="Calibri"/>
        <family val="2"/>
        <scheme val="minor"/>
      </rPr>
      <t>Transmission Transfer Case Differential Lock-Up Solenoid Short Circuit To Ground</t>
    </r>
  </si>
  <si>
    <r>
      <t xml:space="preserve">P1836       </t>
    </r>
    <r>
      <rPr>
        <sz val="12"/>
        <color theme="1"/>
        <rFont val="Calibri"/>
        <family val="2"/>
        <scheme val="minor"/>
      </rPr>
      <t>Transmission Transfer Case Front Shaft Speed Sensor Circuit Failure</t>
    </r>
  </si>
  <si>
    <r>
      <t xml:space="preserve">P1837       </t>
    </r>
    <r>
      <rPr>
        <sz val="12"/>
        <color theme="1"/>
        <rFont val="Calibri"/>
        <family val="2"/>
        <scheme val="minor"/>
      </rPr>
      <t>Transmission Transfer Case Rear Shaft Speed Sensor Circuit Failure</t>
    </r>
  </si>
  <si>
    <r>
      <t xml:space="preserve">P1838       </t>
    </r>
    <r>
      <rPr>
        <sz val="12"/>
        <color theme="1"/>
        <rFont val="Calibri"/>
        <family val="2"/>
        <scheme val="minor"/>
      </rPr>
      <t>Transmission Transfer Case Shift Motor Circuit Failure</t>
    </r>
  </si>
  <si>
    <r>
      <t xml:space="preserve">P1839       </t>
    </r>
    <r>
      <rPr>
        <sz val="12"/>
        <color theme="1"/>
        <rFont val="Calibri"/>
        <family val="2"/>
        <scheme val="minor"/>
      </rPr>
      <t>Transmission Transfer Case Shift Motor Open Circuit</t>
    </r>
  </si>
  <si>
    <r>
      <t xml:space="preserve">P1840       </t>
    </r>
    <r>
      <rPr>
        <sz val="12"/>
        <color theme="1"/>
        <rFont val="Calibri"/>
        <family val="2"/>
        <scheme val="minor"/>
      </rPr>
      <t>Transmission Transfer Case Shift Motor Short Circuit To Battery</t>
    </r>
  </si>
  <si>
    <r>
      <t xml:space="preserve">P1841       </t>
    </r>
    <r>
      <rPr>
        <sz val="12"/>
        <color theme="1"/>
        <rFont val="Calibri"/>
        <family val="2"/>
        <scheme val="minor"/>
      </rPr>
      <t>Transmission Transfer Case Shift Motor Short Circuit To Ground</t>
    </r>
  </si>
  <si>
    <r>
      <t xml:space="preserve">P1842       </t>
    </r>
    <r>
      <rPr>
        <sz val="12"/>
        <color theme="1"/>
        <rFont val="Calibri"/>
        <family val="2"/>
        <scheme val="minor"/>
      </rPr>
      <t>Transmission Transfer Case Differential Lock-Up Feedback Switch Circuit Failure</t>
    </r>
  </si>
  <si>
    <r>
      <t xml:space="preserve">P1843       </t>
    </r>
    <r>
      <rPr>
        <sz val="12"/>
        <color theme="1"/>
        <rFont val="Calibri"/>
        <family val="2"/>
        <scheme val="minor"/>
      </rPr>
      <t>Transmission Transfer Case Differential Lock-Up Feedback Switch Open Circuit</t>
    </r>
  </si>
  <si>
    <r>
      <t xml:space="preserve">P1844       </t>
    </r>
    <r>
      <rPr>
        <sz val="12"/>
        <color theme="1"/>
        <rFont val="Calibri"/>
        <family val="2"/>
        <scheme val="minor"/>
      </rPr>
      <t>Transmission Transfer Case Differential Lock-Up Feedback Switch Short Circuit To Battery</t>
    </r>
  </si>
  <si>
    <r>
      <t xml:space="preserve">P1845       </t>
    </r>
    <r>
      <rPr>
        <sz val="12"/>
        <color theme="1"/>
        <rFont val="Calibri"/>
        <family val="2"/>
        <scheme val="minor"/>
      </rPr>
      <t>Transmission Transfer Case Differential Lock-Up Feedback Switch Short Circuit To Ground</t>
    </r>
  </si>
  <si>
    <r>
      <t xml:space="preserve">P1846       </t>
    </r>
    <r>
      <rPr>
        <sz val="12"/>
        <color theme="1"/>
        <rFont val="Calibri"/>
        <family val="2"/>
        <scheme val="minor"/>
      </rPr>
      <t>Transmission Transfer Case Contact Plate 'A' Circuit Failure</t>
    </r>
  </si>
  <si>
    <r>
      <t xml:space="preserve">P1847       </t>
    </r>
    <r>
      <rPr>
        <sz val="12"/>
        <color theme="1"/>
        <rFont val="Calibri"/>
        <family val="2"/>
        <scheme val="minor"/>
      </rPr>
      <t>Transmission Transfer Case Contact Plate 'A' Open Circuit</t>
    </r>
  </si>
  <si>
    <r>
      <t xml:space="preserve">P1848       </t>
    </r>
    <r>
      <rPr>
        <sz val="12"/>
        <color theme="1"/>
        <rFont val="Calibri"/>
        <family val="2"/>
        <scheme val="minor"/>
      </rPr>
      <t>Transmission Transfer Case Contact Plate 'A' Short Circuit To Battery</t>
    </r>
  </si>
  <si>
    <r>
      <t xml:space="preserve">P1849       </t>
    </r>
    <r>
      <rPr>
        <sz val="12"/>
        <color theme="1"/>
        <rFont val="Calibri"/>
        <family val="2"/>
        <scheme val="minor"/>
      </rPr>
      <t>Transmission Transfer Case Contact Plate 'A' Short Circuit To Ground</t>
    </r>
  </si>
  <si>
    <r>
      <t xml:space="preserve">P1850       </t>
    </r>
    <r>
      <rPr>
        <sz val="12"/>
        <color theme="1"/>
        <rFont val="Calibri"/>
        <family val="2"/>
        <scheme val="minor"/>
      </rPr>
      <t>Transmission Transfer Case Contact Plate 'B' Circuit Failure</t>
    </r>
  </si>
  <si>
    <r>
      <t xml:space="preserve">P1851       </t>
    </r>
    <r>
      <rPr>
        <sz val="12"/>
        <color theme="1"/>
        <rFont val="Calibri"/>
        <family val="2"/>
        <scheme val="minor"/>
      </rPr>
      <t>Transmission Transfer Case Contact Plate 'B' Open Circuit</t>
    </r>
  </si>
  <si>
    <r>
      <t xml:space="preserve">P1852       </t>
    </r>
    <r>
      <rPr>
        <sz val="12"/>
        <color theme="1"/>
        <rFont val="Calibri"/>
        <family val="2"/>
        <scheme val="minor"/>
      </rPr>
      <t>Transmission Transfer Case Contact Plate 'B' Short Circuit To Battery</t>
    </r>
  </si>
  <si>
    <r>
      <t xml:space="preserve">P1853       </t>
    </r>
    <r>
      <rPr>
        <sz val="12"/>
        <color theme="1"/>
        <rFont val="Calibri"/>
        <family val="2"/>
        <scheme val="minor"/>
      </rPr>
      <t>Transmission Transfer Case Contact Plate 'B' Short Circuit To Ground</t>
    </r>
  </si>
  <si>
    <r>
      <t xml:space="preserve">P1854       </t>
    </r>
    <r>
      <rPr>
        <sz val="12"/>
        <color theme="1"/>
        <rFont val="Calibri"/>
        <family val="2"/>
        <scheme val="minor"/>
      </rPr>
      <t>Transmission Transfer Case Contact Plate 'C' Circuit Failure</t>
    </r>
  </si>
  <si>
    <r>
      <t xml:space="preserve">P1855       </t>
    </r>
    <r>
      <rPr>
        <sz val="12"/>
        <color theme="1"/>
        <rFont val="Calibri"/>
        <family val="2"/>
        <scheme val="minor"/>
      </rPr>
      <t>Transmission Transfer Case Contact Plate 'C' Open Circuit</t>
    </r>
  </si>
  <si>
    <r>
      <t xml:space="preserve">P1856       </t>
    </r>
    <r>
      <rPr>
        <sz val="12"/>
        <color theme="1"/>
        <rFont val="Calibri"/>
        <family val="2"/>
        <scheme val="minor"/>
      </rPr>
      <t>Transmission Transfer Case Contact Plate 'C' Short Circuit To Battery</t>
    </r>
  </si>
  <si>
    <r>
      <t xml:space="preserve">P1857       </t>
    </r>
    <r>
      <rPr>
        <sz val="12"/>
        <color theme="1"/>
        <rFont val="Calibri"/>
        <family val="2"/>
        <scheme val="minor"/>
      </rPr>
      <t>Transmission Transfer Case Contact Plate 'C' Short Circuit To Ground</t>
    </r>
  </si>
  <si>
    <r>
      <t xml:space="preserve">P1858       </t>
    </r>
    <r>
      <rPr>
        <sz val="12"/>
        <color theme="1"/>
        <rFont val="Calibri"/>
        <family val="2"/>
        <scheme val="minor"/>
      </rPr>
      <t>Transmission Transfer Case Contact Plate 'D' Circuit Failure</t>
    </r>
  </si>
  <si>
    <r>
      <t xml:space="preserve">P1859       </t>
    </r>
    <r>
      <rPr>
        <sz val="12"/>
        <color theme="1"/>
        <rFont val="Calibri"/>
        <family val="2"/>
        <scheme val="minor"/>
      </rPr>
      <t>Transmission Transfer Case Contact Plate 'D' Open Circuit</t>
    </r>
  </si>
  <si>
    <r>
      <t xml:space="preserve">P1860       </t>
    </r>
    <r>
      <rPr>
        <sz val="12"/>
        <color theme="1"/>
        <rFont val="Calibri"/>
        <family val="2"/>
        <scheme val="minor"/>
      </rPr>
      <t>TCC PWM Solenoid Circuit Electrical/ Transmission Transfer Case Contact Plate 'D' Short Circuit To Battery</t>
    </r>
  </si>
  <si>
    <r>
      <t xml:space="preserve">P1861       </t>
    </r>
    <r>
      <rPr>
        <sz val="12"/>
        <color theme="1"/>
        <rFont val="Calibri"/>
        <family val="2"/>
        <scheme val="minor"/>
      </rPr>
      <t>Transmission Transfer Case Contact Plate 'D' Short Circuit To Ground</t>
    </r>
  </si>
  <si>
    <r>
      <t xml:space="preserve">P1862       </t>
    </r>
    <r>
      <rPr>
        <sz val="12"/>
        <color theme="1"/>
        <rFont val="Calibri"/>
        <family val="2"/>
        <scheme val="minor"/>
      </rPr>
      <t>Transmission Transfer Case Contact Plate Power Circuit Failure</t>
    </r>
  </si>
  <si>
    <r>
      <t xml:space="preserve">P1863       </t>
    </r>
    <r>
      <rPr>
        <sz val="12"/>
        <color theme="1"/>
        <rFont val="Calibri"/>
        <family val="2"/>
        <scheme val="minor"/>
      </rPr>
      <t>Transmission Transfer Case Contact Plate Power Open Circuit</t>
    </r>
  </si>
  <si>
    <r>
      <t xml:space="preserve">P1864       </t>
    </r>
    <r>
      <rPr>
        <sz val="12"/>
        <color theme="1"/>
        <rFont val="Calibri"/>
        <family val="2"/>
        <scheme val="minor"/>
      </rPr>
      <t>Transmission Transfer Case Contact Plate Power Short To Battery</t>
    </r>
  </si>
  <si>
    <r>
      <t xml:space="preserve">P1865       </t>
    </r>
    <r>
      <rPr>
        <sz val="12"/>
        <color theme="1"/>
        <rFont val="Calibri"/>
        <family val="2"/>
        <scheme val="minor"/>
      </rPr>
      <t>Transmission Transfer Case Contact Plate Power Short To Ground</t>
    </r>
  </si>
  <si>
    <r>
      <t xml:space="preserve">P1866       </t>
    </r>
    <r>
      <rPr>
        <sz val="12"/>
        <color theme="1"/>
        <rFont val="Calibri"/>
        <family val="2"/>
        <scheme val="minor"/>
      </rPr>
      <t>Transmission Transfer Case System Concern - Servicing Required</t>
    </r>
  </si>
  <si>
    <r>
      <t xml:space="preserve">P1867       </t>
    </r>
    <r>
      <rPr>
        <sz val="12"/>
        <color theme="1"/>
        <rFont val="Calibri"/>
        <family val="2"/>
        <scheme val="minor"/>
      </rPr>
      <t>Transmission Transfer Case Contact Plate General Circuit Failure</t>
    </r>
  </si>
  <si>
    <r>
      <t xml:space="preserve">P1868       </t>
    </r>
    <r>
      <rPr>
        <sz val="12"/>
        <color theme="1"/>
        <rFont val="Calibri"/>
        <family val="2"/>
        <scheme val="minor"/>
      </rPr>
      <t>Transmission Automatic 4-Wheel Drive Indicator (Lamp) Circuit Failure</t>
    </r>
  </si>
  <si>
    <r>
      <t xml:space="preserve">P1869       </t>
    </r>
    <r>
      <rPr>
        <sz val="12"/>
        <color theme="1"/>
        <rFont val="Calibri"/>
        <family val="2"/>
        <scheme val="minor"/>
      </rPr>
      <t>Transmission Automatic 4-Wheel Drive Indicator (Lamp) Circuit Short To Battery</t>
    </r>
  </si>
  <si>
    <r>
      <t xml:space="preserve">P1870       </t>
    </r>
    <r>
      <rPr>
        <sz val="12"/>
        <color theme="1"/>
        <rFont val="Calibri"/>
        <family val="2"/>
        <scheme val="minor"/>
      </rPr>
      <t>Transmission Component Slipping/ Transmission Mechanical Transfer Case 4x4 Switch Circuit Failure</t>
    </r>
  </si>
  <si>
    <r>
      <t xml:space="preserve">P1871       </t>
    </r>
    <r>
      <rPr>
        <sz val="12"/>
        <color theme="1"/>
        <rFont val="Calibri"/>
        <family val="2"/>
        <scheme val="minor"/>
      </rPr>
      <t>Transmission Mechanical Transfer Case 4x4 Switch Circuit Short To Battery</t>
    </r>
  </si>
  <si>
    <r>
      <t xml:space="preserve">P1872       </t>
    </r>
    <r>
      <rPr>
        <sz val="12"/>
        <color theme="1"/>
        <rFont val="Calibri"/>
        <family val="2"/>
        <scheme val="minor"/>
      </rPr>
      <t>Transmission Mechanical 4-Wheel Drive Axle Lock Lamp Circuit Failure</t>
    </r>
  </si>
  <si>
    <r>
      <t xml:space="preserve">P1873       </t>
    </r>
    <r>
      <rPr>
        <sz val="12"/>
        <color theme="1"/>
        <rFont val="Calibri"/>
        <family val="2"/>
        <scheme val="minor"/>
      </rPr>
      <t>Transmission Mechanical 4-Wheel Drive Axle Lock Lamp Circuit Short To Battery</t>
    </r>
  </si>
  <si>
    <r>
      <t xml:space="preserve">P1874       </t>
    </r>
    <r>
      <rPr>
        <sz val="12"/>
        <color theme="1"/>
        <rFont val="Calibri"/>
        <family val="2"/>
        <scheme val="minor"/>
      </rPr>
      <t>Transmission Automatic Hall Effect Sensor Power Circuit Failure</t>
    </r>
  </si>
  <si>
    <r>
      <t xml:space="preserve">P1875       </t>
    </r>
    <r>
      <rPr>
        <sz val="12"/>
        <color theme="1"/>
        <rFont val="Calibri"/>
        <family val="2"/>
        <scheme val="minor"/>
      </rPr>
      <t>Transmission Automatic Hall Effect Sensor Power Circuit Short To Battery / 4WD Low Switch Circuit Electrical</t>
    </r>
  </si>
  <si>
    <r>
      <t xml:space="preserve">P1876       </t>
    </r>
    <r>
      <rPr>
        <sz val="12"/>
        <color theme="1"/>
        <rFont val="Calibri"/>
        <family val="2"/>
        <scheme val="minor"/>
      </rPr>
      <t>Transmission Transfer Case 2-Wheel Drive Solenoid Circuit Failure</t>
    </r>
  </si>
  <si>
    <r>
      <t xml:space="preserve">P1877       </t>
    </r>
    <r>
      <rPr>
        <sz val="12"/>
        <color theme="1"/>
        <rFont val="Calibri"/>
        <family val="2"/>
        <scheme val="minor"/>
      </rPr>
      <t>Transmission Transfer Case 2-Wheel Drive Solenoid Circuit Short To Battery</t>
    </r>
  </si>
  <si>
    <r>
      <t xml:space="preserve">P1878       </t>
    </r>
    <r>
      <rPr>
        <sz val="12"/>
        <color theme="1"/>
        <rFont val="Calibri"/>
        <family val="2"/>
        <scheme val="minor"/>
      </rPr>
      <t>Transmission Transfer Case Disengaged Solenoid Circuit Failure</t>
    </r>
  </si>
  <si>
    <r>
      <t xml:space="preserve">P1879       </t>
    </r>
    <r>
      <rPr>
        <sz val="12"/>
        <color theme="1"/>
        <rFont val="Calibri"/>
        <family val="2"/>
        <scheme val="minor"/>
      </rPr>
      <t>Transmission Transfer Case Disengaged Solenoid Open Circuit</t>
    </r>
  </si>
  <si>
    <r>
      <t xml:space="preserve">P1880       </t>
    </r>
    <r>
      <rPr>
        <sz val="12"/>
        <color theme="1"/>
        <rFont val="Calibri"/>
        <family val="2"/>
        <scheme val="minor"/>
      </rPr>
      <t>Transmission Transfer Case Disengaged Solenoid Short to Battery</t>
    </r>
  </si>
  <si>
    <r>
      <t xml:space="preserve">P1881       </t>
    </r>
    <r>
      <rPr>
        <sz val="12"/>
        <color theme="1"/>
        <rFont val="Calibri"/>
        <family val="2"/>
        <scheme val="minor"/>
      </rPr>
      <t>Engine Coolant Level Switch Circuit Failure, GEM</t>
    </r>
  </si>
  <si>
    <r>
      <t xml:space="preserve">P1882       </t>
    </r>
    <r>
      <rPr>
        <sz val="12"/>
        <color theme="1"/>
        <rFont val="Calibri"/>
        <family val="2"/>
        <scheme val="minor"/>
      </rPr>
      <t>Engine Coolant Level Switch Circuit Short to Ground</t>
    </r>
  </si>
  <si>
    <r>
      <t xml:space="preserve">P1883       </t>
    </r>
    <r>
      <rPr>
        <sz val="12"/>
        <color theme="1"/>
        <rFont val="Calibri"/>
        <family val="2"/>
        <scheme val="minor"/>
      </rPr>
      <t>Engine Coolant Level Switch Circuit Failure, GEM</t>
    </r>
  </si>
  <si>
    <r>
      <t xml:space="preserve">P1884       </t>
    </r>
    <r>
      <rPr>
        <sz val="12"/>
        <color theme="1"/>
        <rFont val="Calibri"/>
        <family val="2"/>
        <scheme val="minor"/>
      </rPr>
      <t>Engine Coolant Level Lamp Circuit Short to Ground</t>
    </r>
  </si>
  <si>
    <r>
      <t xml:space="preserve">P1885       </t>
    </r>
    <r>
      <rPr>
        <sz val="12"/>
        <color theme="1"/>
        <rFont val="Calibri"/>
        <family val="2"/>
        <scheme val="minor"/>
      </rPr>
      <t>Transmission Transfer Case Disengaged Solenoid Short to Ground</t>
    </r>
  </si>
  <si>
    <r>
      <t xml:space="preserve">P1886       </t>
    </r>
    <r>
      <rPr>
        <sz val="12"/>
        <color theme="1"/>
        <rFont val="Calibri"/>
        <family val="2"/>
        <scheme val="minor"/>
      </rPr>
      <t>4X4 Initialization Failure</t>
    </r>
  </si>
  <si>
    <r>
      <t xml:space="preserve">P1890       </t>
    </r>
    <r>
      <rPr>
        <sz val="12"/>
        <color theme="1"/>
        <rFont val="Calibri"/>
        <family val="2"/>
        <scheme val="minor"/>
      </rPr>
      <t>Transmission 4WD Mode Select Return Input Circuit Failure</t>
    </r>
  </si>
  <si>
    <r>
      <t xml:space="preserve">P1891       </t>
    </r>
    <r>
      <rPr>
        <sz val="12"/>
        <color theme="1"/>
        <rFont val="Calibri"/>
        <family val="2"/>
        <scheme val="minor"/>
      </rPr>
      <t>Transmission Transfer Case Contact Plate Ground Return Open Circuit</t>
    </r>
  </si>
  <si>
    <r>
      <t xml:space="preserve">P1900       </t>
    </r>
    <r>
      <rPr>
        <sz val="12"/>
        <color theme="1"/>
        <rFont val="Calibri"/>
        <family val="2"/>
        <scheme val="minor"/>
      </rPr>
      <t>OSS Circuit Intermittent Malfunction</t>
    </r>
  </si>
  <si>
    <r>
      <t xml:space="preserve">P1901       </t>
    </r>
    <r>
      <rPr>
        <sz val="12"/>
        <color theme="1"/>
        <rFont val="Calibri"/>
        <family val="2"/>
        <scheme val="minor"/>
      </rPr>
      <t>TSS Circuit Intermittent Malfunction</t>
    </r>
  </si>
  <si>
    <r>
      <t xml:space="preserve">P1902       </t>
    </r>
    <r>
      <rPr>
        <sz val="12"/>
        <color theme="1"/>
        <rFont val="Calibri"/>
        <family val="2"/>
        <scheme val="minor"/>
      </rPr>
      <t>Pressure Control Solenoid "B" Intermittent Short</t>
    </r>
  </si>
  <si>
    <r>
      <t xml:space="preserve">P1903       </t>
    </r>
    <r>
      <rPr>
        <sz val="12"/>
        <color theme="1"/>
        <rFont val="Calibri"/>
        <family val="2"/>
        <scheme val="minor"/>
      </rPr>
      <t>Pressure Control Solenoid "C" Short Circuit</t>
    </r>
  </si>
  <si>
    <r>
      <t xml:space="preserve">P1904       </t>
    </r>
    <r>
      <rPr>
        <sz val="12"/>
        <color theme="1"/>
        <rFont val="Calibri"/>
        <family val="2"/>
        <scheme val="minor"/>
      </rPr>
      <t>Pressure Control Solenoid "C" Open Circuit</t>
    </r>
  </si>
  <si>
    <r>
      <t xml:space="preserve">P1905       </t>
    </r>
    <r>
      <rPr>
        <sz val="12"/>
        <color theme="1"/>
        <rFont val="Calibri"/>
        <family val="2"/>
        <scheme val="minor"/>
      </rPr>
      <t>Pressure Control Solenoid "C" Intermittent Short</t>
    </r>
  </si>
  <si>
    <r>
      <t xml:space="preserve">P1906       </t>
    </r>
    <r>
      <rPr>
        <sz val="12"/>
        <color theme="1"/>
        <rFont val="Calibri"/>
        <family val="2"/>
        <scheme val="minor"/>
      </rPr>
      <t>Kickdown Pull Relay Open or Short Circuit to Ground</t>
    </r>
  </si>
  <si>
    <r>
      <t xml:space="preserve">P1907       </t>
    </r>
    <r>
      <rPr>
        <sz val="12"/>
        <color theme="1"/>
        <rFont val="Calibri"/>
        <family val="2"/>
        <scheme val="minor"/>
      </rPr>
      <t>Kickdown Hold Relay Open or Short Circuit to Ground</t>
    </r>
  </si>
  <si>
    <r>
      <t xml:space="preserve">P1908       </t>
    </r>
    <r>
      <rPr>
        <sz val="12"/>
        <color theme="1"/>
        <rFont val="Calibri"/>
        <family val="2"/>
        <scheme val="minor"/>
      </rPr>
      <t>Transmission Pressure Circuit Solenoid Open or Short to Ground</t>
    </r>
  </si>
  <si>
    <r>
      <t xml:space="preserve">P1909       </t>
    </r>
    <r>
      <rPr>
        <sz val="12"/>
        <color theme="1"/>
        <rFont val="Calibri"/>
        <family val="2"/>
        <scheme val="minor"/>
      </rPr>
      <t>Trans Temp Sensor Circuit Open or Shorted to Pwr or Gnd</t>
    </r>
  </si>
  <si>
    <r>
      <t xml:space="preserve">P1910       </t>
    </r>
    <r>
      <rPr>
        <sz val="12"/>
        <color theme="1"/>
        <rFont val="Calibri"/>
        <family val="2"/>
        <scheme val="minor"/>
      </rPr>
      <t>VFS A Pressure Output Failed Low</t>
    </r>
  </si>
  <si>
    <r>
      <t xml:space="preserve">P1911       </t>
    </r>
    <r>
      <rPr>
        <sz val="12"/>
        <color theme="1"/>
        <rFont val="Calibri"/>
        <family val="2"/>
        <scheme val="minor"/>
      </rPr>
      <t>VFS B Pressure Output Failed Low</t>
    </r>
  </si>
  <si>
    <r>
      <t xml:space="preserve">P1912       </t>
    </r>
    <r>
      <rPr>
        <sz val="12"/>
        <color theme="1"/>
        <rFont val="Calibri"/>
        <family val="2"/>
        <scheme val="minor"/>
      </rPr>
      <t>VFS C Pressure Output Failed Low</t>
    </r>
  </si>
  <si>
    <r>
      <t xml:space="preserve">P1913       </t>
    </r>
    <r>
      <rPr>
        <sz val="12"/>
        <color theme="1"/>
        <rFont val="Calibri"/>
        <family val="2"/>
        <scheme val="minor"/>
      </rPr>
      <t>Pressure Switch A Circuit Malfunction</t>
    </r>
  </si>
  <si>
    <r>
      <t xml:space="preserve">P1914       </t>
    </r>
    <r>
      <rPr>
        <sz val="12"/>
        <color theme="1"/>
        <rFont val="Calibri"/>
        <family val="2"/>
        <scheme val="minor"/>
      </rPr>
      <t>Manually Shifted Automatic (MSA) Sw Circuit Malf</t>
    </r>
  </si>
  <si>
    <r>
      <t xml:space="preserve">P1915       </t>
    </r>
    <r>
      <rPr>
        <sz val="12"/>
        <color theme="1"/>
        <rFont val="Calibri"/>
        <family val="2"/>
        <scheme val="minor"/>
      </rPr>
      <t>Reverse Switch Circuit Malfunction</t>
    </r>
  </si>
  <si>
    <r>
      <t xml:space="preserve">P1916       </t>
    </r>
    <r>
      <rPr>
        <sz val="12"/>
        <color theme="1"/>
        <rFont val="Calibri"/>
        <family val="2"/>
        <scheme val="minor"/>
      </rPr>
      <t>High Clutch Drum Speed Sensor Malfunction</t>
    </r>
  </si>
  <si>
    <r>
      <t xml:space="preserve">P1917       </t>
    </r>
    <r>
      <rPr>
        <sz val="12"/>
        <color theme="1"/>
        <rFont val="Calibri"/>
        <family val="2"/>
        <scheme val="minor"/>
      </rPr>
      <t>High Clutch Drum Speed Sensor Intermittent</t>
    </r>
  </si>
  <si>
    <r>
      <t xml:space="preserve">P1918       </t>
    </r>
    <r>
      <rPr>
        <sz val="12"/>
        <color theme="1"/>
        <rFont val="Calibri"/>
        <family val="2"/>
        <scheme val="minor"/>
      </rPr>
      <t>Transmission Range Display Circuit Malfunction</t>
    </r>
  </si>
  <si>
    <t>Mode 9 supported PIDs (01 to 20)</t>
  </si>
  <si>
    <r>
      <t xml:space="preserve">VIN Message Count in PID </t>
    </r>
    <r>
      <rPr>
        <sz val="10"/>
        <color theme="1"/>
        <rFont val="Courier"/>
      </rPr>
      <t>02</t>
    </r>
    <r>
      <rPr>
        <sz val="12"/>
        <color theme="1"/>
        <rFont val="Calibri"/>
        <family val="2"/>
        <scheme val="minor"/>
      </rPr>
      <t>. Only for ISO 9141-2, ISO 14230-4 and SAE J1850.</t>
    </r>
  </si>
  <si>
    <t>Usually 5</t>
  </si>
  <si>
    <t>17-20</t>
  </si>
  <si>
    <t>VIN</t>
  </si>
  <si>
    <r>
      <t>17-char VIN, ASCII-encoded and left-padded with null chars (</t>
    </r>
    <r>
      <rPr>
        <sz val="10"/>
        <color theme="1"/>
        <rFont val="Courier"/>
      </rPr>
      <t>0x00</t>
    </r>
    <r>
      <rPr>
        <sz val="12"/>
        <color theme="1"/>
        <rFont val="Calibri"/>
        <family val="2"/>
        <scheme val="minor"/>
      </rPr>
      <t>) if needed to.</t>
    </r>
  </si>
  <si>
    <r>
      <t xml:space="preserve">Calibration ID message count for PID </t>
    </r>
    <r>
      <rPr>
        <sz val="10"/>
        <color theme="1"/>
        <rFont val="Courier"/>
      </rPr>
      <t>04</t>
    </r>
    <r>
      <rPr>
        <sz val="12"/>
        <color theme="1"/>
        <rFont val="Calibri"/>
        <family val="2"/>
        <scheme val="minor"/>
      </rPr>
      <t>. Only for ISO 9141-2, ISO 14230-4 and SAE J1850.</t>
    </r>
  </si>
  <si>
    <t>It will be a multiple of 4 (4 messages are needed for each ID).</t>
  </si>
  <si>
    <t>Calibration ID</t>
  </si>
  <si>
    <r>
      <t>Up to 16 ASCII chars. Data bytes not used will be reported as null bytes (</t>
    </r>
    <r>
      <rPr>
        <sz val="10"/>
        <color theme="1"/>
        <rFont val="Courier"/>
      </rPr>
      <t>0x00</t>
    </r>
    <r>
      <rPr>
        <sz val="12"/>
        <color theme="1"/>
        <rFont val="Calibri"/>
        <family val="2"/>
        <scheme val="minor"/>
      </rPr>
      <t>).</t>
    </r>
  </si>
  <si>
    <r>
      <t xml:space="preserve">Calibration verification numbers (CVN) message count for PID </t>
    </r>
    <r>
      <rPr>
        <sz val="10"/>
        <color theme="1"/>
        <rFont val="Courier"/>
      </rPr>
      <t>06</t>
    </r>
    <r>
      <rPr>
        <sz val="12"/>
        <color theme="1"/>
        <rFont val="Calibri"/>
        <family val="2"/>
        <scheme val="minor"/>
      </rPr>
      <t>. Only for ISO 9141-2, ISO 14230-4 and SAE J1850.</t>
    </r>
  </si>
  <si>
    <t>Calibration Verification Numbers (CVN)</t>
  </si>
  <si>
    <r>
      <t xml:space="preserve">In-use performance tracking message count for PID </t>
    </r>
    <r>
      <rPr>
        <sz val="10"/>
        <color theme="1"/>
        <rFont val="Courier"/>
      </rPr>
      <t>08</t>
    </r>
    <r>
      <rPr>
        <sz val="12"/>
        <color theme="1"/>
        <rFont val="Calibri"/>
        <family val="2"/>
        <scheme val="minor"/>
      </rPr>
      <t xml:space="preserve"> and </t>
    </r>
    <r>
      <rPr>
        <sz val="10"/>
        <color theme="1"/>
        <rFont val="Courier"/>
      </rPr>
      <t>0B</t>
    </r>
    <r>
      <rPr>
        <sz val="12"/>
        <color theme="1"/>
        <rFont val="Calibri"/>
        <family val="2"/>
        <scheme val="minor"/>
      </rPr>
      <t>. Only for ISO 9141-2, ISO 14230-4 and SAE J1850.</t>
    </r>
  </si>
  <si>
    <t>In-use performance tracking for spark ignition vehicles</t>
  </si>
  <si>
    <r>
      <t xml:space="preserve">ECU name message count for PID </t>
    </r>
    <r>
      <rPr>
        <sz val="10"/>
        <color theme="1"/>
        <rFont val="Courier"/>
      </rPr>
      <t>0A</t>
    </r>
  </si>
  <si>
    <t>ECU name</t>
  </si>
  <si>
    <r>
      <t>ASCII-coded. Right-padded with null chars (</t>
    </r>
    <r>
      <rPr>
        <sz val="10"/>
        <color theme="1"/>
        <rFont val="Courier"/>
      </rPr>
      <t>0x00</t>
    </r>
    <r>
      <rPr>
        <sz val="12"/>
        <color theme="1"/>
        <rFont val="Calibri"/>
        <family val="2"/>
        <scheme val="minor"/>
      </rPr>
      <t>).</t>
    </r>
  </si>
  <si>
    <t>In-use performance tracking for compression ignition vehicles</t>
  </si>
  <si>
    <t>ECU Request</t>
  </si>
  <si>
    <t>ECU Response Example (calculated from Row 26)</t>
  </si>
  <si>
    <t>TP1 and TP2</t>
  </si>
  <si>
    <t>MBE Response</t>
  </si>
  <si>
    <t>Lambda 1 and 2</t>
  </si>
  <si>
    <t>Volts</t>
  </si>
  <si>
    <t>Degrees</t>
  </si>
  <si>
    <t>Celsius</t>
  </si>
  <si>
    <t>Adaptives</t>
  </si>
  <si>
    <t>Injector Duration Low</t>
  </si>
  <si>
    <t>Injector Duration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</si>
</sst>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dotted">
        <color rgb="FFCCCCCC"/>
      </bottom>
      <diagonal/>
    </border>
  </borders>
  <cellStyleXfs count="58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58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3" fillId="0" borderId="0" xfId="1" applyAlignment="1">
      <alignment horizontal="left" vertical="center" wrapText="1"/>
    </xf>
    <xf numFmtId="3" fontId="0" fillId="0" borderId="0" xfId="0" applyNumberForma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0" fillId="2" borderId="0" xfId="0" applyFill="1" applyAlignment="1">
      <alignment vertical="center" wrapText="1"/>
    </xf>
    <xf numFmtId="0" fontId="3" fillId="2" borderId="0" xfId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 wrapText="1"/>
    </xf>
    <xf numFmtId="4" fontId="0" fillId="2" borderId="0" xfId="0" applyNumberFormat="1" applyFill="1" applyAlignment="1">
      <alignment vertical="center" wrapText="1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3" borderId="0" xfId="0" applyFill="1"/>
    <xf numFmtId="0" fontId="5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9" xfId="0" applyFill="1" applyBorder="1" applyAlignment="1">
      <alignment horizontal="center" vertical="top" textRotation="180"/>
    </xf>
    <xf numFmtId="0" fontId="0" fillId="5" borderId="10" xfId="0" applyFill="1" applyBorder="1" applyAlignment="1">
      <alignment horizontal="center" vertical="top" textRotation="180"/>
    </xf>
    <xf numFmtId="0" fontId="0" fillId="5" borderId="11" xfId="0" applyFill="1" applyBorder="1" applyAlignment="1">
      <alignment horizontal="center" vertical="top" textRotation="180"/>
    </xf>
    <xf numFmtId="0" fontId="0" fillId="4" borderId="10" xfId="0" applyFill="1" applyBorder="1" applyAlignment="1">
      <alignment horizontal="center" vertical="top" textRotation="180"/>
    </xf>
    <xf numFmtId="0" fontId="0" fillId="4" borderId="11" xfId="0" applyFill="1" applyBorder="1" applyAlignment="1">
      <alignment horizontal="center" vertical="top" textRotation="180"/>
    </xf>
    <xf numFmtId="0" fontId="0" fillId="0" borderId="0" xfId="0" applyFill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9" xfId="0" applyFill="1" applyBorder="1" applyAlignment="1">
      <alignment horizontal="center" vertical="top" textRotation="180"/>
    </xf>
    <xf numFmtId="0" fontId="0" fillId="7" borderId="0" xfId="0" applyFill="1"/>
    <xf numFmtId="0" fontId="0" fillId="2" borderId="0" xfId="0" applyFill="1" applyAlignment="1">
      <alignment horizontal="center"/>
    </xf>
    <xf numFmtId="0" fontId="3" fillId="2" borderId="0" xfId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vertical="center" wrapText="1"/>
    </xf>
    <xf numFmtId="0" fontId="1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quotePrefix="1" applyFill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1" fontId="0" fillId="2" borderId="0" xfId="0" applyNumberFormat="1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3" borderId="0" xfId="0" applyFill="1" applyAlignment="1">
      <alignment vertical="center"/>
    </xf>
    <xf numFmtId="0" fontId="2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 indent="1"/>
    </xf>
    <xf numFmtId="0" fontId="6" fillId="0" borderId="12" xfId="0" applyFont="1" applyBorder="1" applyAlignment="1">
      <alignment vertical="center"/>
    </xf>
    <xf numFmtId="0" fontId="0" fillId="0" borderId="0" xfId="0" applyAlignment="1">
      <alignment horizontal="left" vertical="center" indent="1"/>
    </xf>
    <xf numFmtId="0" fontId="0" fillId="7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3" fillId="0" borderId="0" xfId="1" applyFill="1" applyAlignment="1">
      <alignment horizontal="left" vertical="center" wrapText="1"/>
    </xf>
    <xf numFmtId="0" fontId="0" fillId="0" borderId="0" xfId="0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vertical="center" wrapText="1"/>
    </xf>
    <xf numFmtId="4" fontId="0" fillId="0" borderId="0" xfId="0" applyNumberFormat="1" applyFill="1" applyAlignment="1">
      <alignment vertical="center" wrapText="1"/>
    </xf>
    <xf numFmtId="0" fontId="3" fillId="0" borderId="0" xfId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2" fillId="0" borderId="0" xfId="0" applyFont="1" applyFill="1" applyAlignment="1">
      <alignment vertical="center" wrapText="1"/>
    </xf>
    <xf numFmtId="0" fontId="1" fillId="0" borderId="0" xfId="0" applyFont="1" applyFill="1" applyAlignment="1">
      <alignment vertical="center" wrapText="1"/>
    </xf>
    <xf numFmtId="3" fontId="0" fillId="0" borderId="0" xfId="0" applyNumberFormat="1" applyFill="1" applyAlignment="1">
      <alignment vertical="center" wrapText="1"/>
    </xf>
    <xf numFmtId="0" fontId="5" fillId="0" borderId="0" xfId="0" applyFont="1" applyFill="1" applyAlignment="1">
      <alignment vertical="center"/>
    </xf>
    <xf numFmtId="0" fontId="5" fillId="0" borderId="0" xfId="0" applyFont="1" applyFill="1" applyAlignment="1">
      <alignment horizontal="left" vertical="center" wrapText="1"/>
    </xf>
    <xf numFmtId="0" fontId="1" fillId="0" borderId="0" xfId="0" applyFont="1" applyFill="1" applyAlignment="1">
      <alignment horizontal="center" vertical="center" wrapText="1"/>
    </xf>
    <xf numFmtId="0" fontId="3" fillId="0" borderId="0" xfId="1" applyFill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3" fontId="0" fillId="0" borderId="0" xfId="0" applyNumberFormat="1" applyFill="1" applyAlignment="1">
      <alignment vertical="center" wrapText="1"/>
    </xf>
    <xf numFmtId="0" fontId="0" fillId="0" borderId="0" xfId="0" applyFill="1" applyAlignment="1">
      <alignment horizontal="left" vertical="center" wrapText="1"/>
    </xf>
    <xf numFmtId="4" fontId="0" fillId="0" borderId="0" xfId="0" applyNumberFormat="1" applyFill="1" applyAlignment="1">
      <alignment vertical="center" wrapText="1"/>
    </xf>
    <xf numFmtId="0" fontId="0" fillId="0" borderId="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1" applyAlignment="1">
      <alignment horizontal="center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" fontId="0" fillId="0" borderId="0" xfId="0" applyNumberForma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164" fontId="0" fillId="5" borderId="0" xfId="0" applyNumberFormat="1" applyFill="1" applyAlignment="1">
      <alignment horizontal="center"/>
    </xf>
    <xf numFmtId="0" fontId="1" fillId="0" borderId="0" xfId="0" applyFont="1" applyBorder="1" applyAlignment="1">
      <alignment horizontal="center"/>
    </xf>
    <xf numFmtId="0" fontId="0" fillId="2" borderId="0" xfId="0" applyFill="1" applyBorder="1" applyAlignment="1">
      <alignment horizontal="center"/>
    </xf>
  </cellXfs>
  <cellStyles count="582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Followed Hyperlink" xfId="463" builtinId="9" hidden="1"/>
    <cellStyle name="Followed Hyperlink" xfId="464" builtinId="9" hidden="1"/>
    <cellStyle name="Followed Hyperlink" xfId="465" builtinId="9" hidden="1"/>
    <cellStyle name="Followed Hyperlink" xfId="466" builtinId="9" hidden="1"/>
    <cellStyle name="Followed Hyperlink" xfId="467" builtinId="9" hidden="1"/>
    <cellStyle name="Followed Hyperlink" xfId="468" builtinId="9" hidden="1"/>
    <cellStyle name="Followed Hyperlink" xfId="469" builtinId="9" hidden="1"/>
    <cellStyle name="Followed Hyperlink" xfId="470" builtinId="9" hidden="1"/>
    <cellStyle name="Followed Hyperlink" xfId="471" builtinId="9" hidden="1"/>
    <cellStyle name="Followed Hyperlink" xfId="472" builtinId="9" hidden="1"/>
    <cellStyle name="Followed Hyperlink" xfId="473" builtinId="9" hidden="1"/>
    <cellStyle name="Followed Hyperlink" xfId="474" builtinId="9" hidden="1"/>
    <cellStyle name="Followed Hyperlink" xfId="475" builtinId="9" hidden="1"/>
    <cellStyle name="Followed Hyperlink" xfId="476" builtinId="9" hidden="1"/>
    <cellStyle name="Followed Hyperlink" xfId="477" builtinId="9" hidden="1"/>
    <cellStyle name="Followed Hyperlink" xfId="478" builtinId="9" hidden="1"/>
    <cellStyle name="Followed Hyperlink" xfId="479" builtinId="9" hidden="1"/>
    <cellStyle name="Followed Hyperlink" xfId="480" builtinId="9" hidden="1"/>
    <cellStyle name="Followed Hyperlink" xfId="481" builtinId="9" hidden="1"/>
    <cellStyle name="Followed Hyperlink" xfId="482" builtinId="9" hidden="1"/>
    <cellStyle name="Followed Hyperlink" xfId="483" builtinId="9" hidden="1"/>
    <cellStyle name="Followed Hyperlink" xfId="484" builtinId="9" hidden="1"/>
    <cellStyle name="Followed Hyperlink" xfId="485" builtinId="9" hidden="1"/>
    <cellStyle name="Followed Hyperlink" xfId="486" builtinId="9" hidden="1"/>
    <cellStyle name="Followed Hyperlink" xfId="487" builtinId="9" hidden="1"/>
    <cellStyle name="Followed Hyperlink" xfId="488" builtinId="9" hidden="1"/>
    <cellStyle name="Followed Hyperlink" xfId="489" builtinId="9" hidden="1"/>
    <cellStyle name="Followed Hyperlink" xfId="490" builtinId="9" hidden="1"/>
    <cellStyle name="Followed Hyperlink" xfId="491" builtinId="9" hidden="1"/>
    <cellStyle name="Followed Hyperlink" xfId="492" builtinId="9" hidden="1"/>
    <cellStyle name="Followed Hyperlink" xfId="493" builtinId="9" hidden="1"/>
    <cellStyle name="Followed Hyperlink" xfId="494" builtinId="9" hidden="1"/>
    <cellStyle name="Followed Hyperlink" xfId="495" builtinId="9" hidden="1"/>
    <cellStyle name="Followed Hyperlink" xfId="496" builtinId="9" hidden="1"/>
    <cellStyle name="Followed Hyperlink" xfId="497" builtinId="9" hidden="1"/>
    <cellStyle name="Followed Hyperlink" xfId="498" builtinId="9" hidden="1"/>
    <cellStyle name="Followed Hyperlink" xfId="499" builtinId="9" hidden="1"/>
    <cellStyle name="Followed Hyperlink" xfId="500" builtinId="9" hidden="1"/>
    <cellStyle name="Followed Hyperlink" xfId="501" builtinId="9" hidden="1"/>
    <cellStyle name="Followed Hyperlink" xfId="502" builtinId="9" hidden="1"/>
    <cellStyle name="Followed Hyperlink" xfId="503" builtinId="9" hidden="1"/>
    <cellStyle name="Followed Hyperlink" xfId="504" builtinId="9" hidden="1"/>
    <cellStyle name="Followed Hyperlink" xfId="505" builtinId="9" hidden="1"/>
    <cellStyle name="Followed Hyperlink" xfId="506" builtinId="9" hidden="1"/>
    <cellStyle name="Followed Hyperlink" xfId="507" builtinId="9" hidden="1"/>
    <cellStyle name="Followed Hyperlink" xfId="508" builtinId="9" hidden="1"/>
    <cellStyle name="Followed Hyperlink" xfId="509" builtinId="9" hidden="1"/>
    <cellStyle name="Followed Hyperlink" xfId="510" builtinId="9" hidden="1"/>
    <cellStyle name="Followed Hyperlink" xfId="511" builtinId="9" hidden="1"/>
    <cellStyle name="Followed Hyperlink" xfId="512" builtinId="9" hidden="1"/>
    <cellStyle name="Followed Hyperlink" xfId="513" builtinId="9" hidden="1"/>
    <cellStyle name="Followed Hyperlink" xfId="514" builtinId="9" hidden="1"/>
    <cellStyle name="Followed Hyperlink" xfId="515" builtinId="9" hidden="1"/>
    <cellStyle name="Followed Hyperlink" xfId="516" builtinId="9" hidden="1"/>
    <cellStyle name="Followed Hyperlink" xfId="517" builtinId="9" hidden="1"/>
    <cellStyle name="Followed Hyperlink" xfId="518" builtinId="9" hidden="1"/>
    <cellStyle name="Followed Hyperlink" xfId="519" builtinId="9" hidden="1"/>
    <cellStyle name="Followed Hyperlink" xfId="520" builtinId="9" hidden="1"/>
    <cellStyle name="Followed Hyperlink" xfId="521" builtinId="9" hidden="1"/>
    <cellStyle name="Followed Hyperlink" xfId="522" builtinId="9" hidden="1"/>
    <cellStyle name="Followed Hyperlink" xfId="523" builtinId="9" hidden="1"/>
    <cellStyle name="Followed Hyperlink" xfId="524" builtinId="9" hidden="1"/>
    <cellStyle name="Followed Hyperlink" xfId="525" builtinId="9" hidden="1"/>
    <cellStyle name="Followed Hyperlink" xfId="526" builtinId="9" hidden="1"/>
    <cellStyle name="Followed Hyperlink" xfId="527" builtinId="9" hidden="1"/>
    <cellStyle name="Followed Hyperlink" xfId="528" builtinId="9" hidden="1"/>
    <cellStyle name="Followed Hyperlink" xfId="529" builtinId="9" hidden="1"/>
    <cellStyle name="Followed Hyperlink" xfId="530" builtinId="9" hidden="1"/>
    <cellStyle name="Followed Hyperlink" xfId="531" builtinId="9" hidden="1"/>
    <cellStyle name="Followed Hyperlink" xfId="532" builtinId="9" hidden="1"/>
    <cellStyle name="Followed Hyperlink" xfId="533" builtinId="9" hidden="1"/>
    <cellStyle name="Followed Hyperlink" xfId="534" builtinId="9" hidden="1"/>
    <cellStyle name="Followed Hyperlink" xfId="535" builtinId="9" hidden="1"/>
    <cellStyle name="Followed Hyperlink" xfId="536" builtinId="9" hidden="1"/>
    <cellStyle name="Followed Hyperlink" xfId="537" builtinId="9" hidden="1"/>
    <cellStyle name="Followed Hyperlink" xfId="538" builtinId="9" hidden="1"/>
    <cellStyle name="Followed Hyperlink" xfId="539" builtinId="9" hidden="1"/>
    <cellStyle name="Followed Hyperlink" xfId="540" builtinId="9" hidden="1"/>
    <cellStyle name="Followed Hyperlink" xfId="541" builtinId="9" hidden="1"/>
    <cellStyle name="Followed Hyperlink" xfId="542" builtinId="9" hidden="1"/>
    <cellStyle name="Followed Hyperlink" xfId="543" builtinId="9" hidden="1"/>
    <cellStyle name="Followed Hyperlink" xfId="544" builtinId="9" hidden="1"/>
    <cellStyle name="Followed Hyperlink" xfId="545" builtinId="9" hidden="1"/>
    <cellStyle name="Followed Hyperlink" xfId="546" builtinId="9" hidden="1"/>
    <cellStyle name="Followed Hyperlink" xfId="547" builtinId="9" hidden="1"/>
    <cellStyle name="Followed Hyperlink" xfId="548" builtinId="9" hidden="1"/>
    <cellStyle name="Followed Hyperlink" xfId="549" builtinId="9" hidden="1"/>
    <cellStyle name="Followed Hyperlink" xfId="550" builtinId="9" hidden="1"/>
    <cellStyle name="Followed Hyperlink" xfId="551" builtinId="9" hidden="1"/>
    <cellStyle name="Followed Hyperlink" xfId="552" builtinId="9" hidden="1"/>
    <cellStyle name="Followed Hyperlink" xfId="553" builtinId="9" hidden="1"/>
    <cellStyle name="Followed Hyperlink" xfId="554" builtinId="9" hidden="1"/>
    <cellStyle name="Followed Hyperlink" xfId="555" builtinId="9" hidden="1"/>
    <cellStyle name="Followed Hyperlink" xfId="556" builtinId="9" hidden="1"/>
    <cellStyle name="Followed Hyperlink" xfId="557" builtinId="9" hidden="1"/>
    <cellStyle name="Followed Hyperlink" xfId="558" builtinId="9" hidden="1"/>
    <cellStyle name="Followed Hyperlink" xfId="559" builtinId="9" hidden="1"/>
    <cellStyle name="Followed Hyperlink" xfId="560" builtinId="9" hidden="1"/>
    <cellStyle name="Followed Hyperlink" xfId="561" builtinId="9" hidden="1"/>
    <cellStyle name="Followed Hyperlink" xfId="562" builtinId="9" hidden="1"/>
    <cellStyle name="Followed Hyperlink" xfId="563" builtinId="9" hidden="1"/>
    <cellStyle name="Followed Hyperlink" xfId="564" builtinId="9" hidden="1"/>
    <cellStyle name="Followed Hyperlink" xfId="565" builtinId="9" hidden="1"/>
    <cellStyle name="Followed Hyperlink" xfId="566" builtinId="9" hidden="1"/>
    <cellStyle name="Followed Hyperlink" xfId="567" builtinId="9" hidden="1"/>
    <cellStyle name="Followed Hyperlink" xfId="568" builtinId="9" hidden="1"/>
    <cellStyle name="Followed Hyperlink" xfId="569" builtinId="9" hidden="1"/>
    <cellStyle name="Followed Hyperlink" xfId="570" builtinId="9" hidden="1"/>
    <cellStyle name="Followed Hyperlink" xfId="571" builtinId="9" hidden="1"/>
    <cellStyle name="Followed Hyperlink" xfId="572" builtinId="9" hidden="1"/>
    <cellStyle name="Followed Hyperlink" xfId="573" builtinId="9" hidden="1"/>
    <cellStyle name="Followed Hyperlink" xfId="574" builtinId="9" hidden="1"/>
    <cellStyle name="Followed Hyperlink" xfId="575" builtinId="9" hidden="1"/>
    <cellStyle name="Followed Hyperlink" xfId="576" builtinId="9" hidden="1"/>
    <cellStyle name="Followed Hyperlink" xfId="577" builtinId="9" hidden="1"/>
    <cellStyle name="Followed Hyperlink" xfId="578" builtinId="9" hidden="1"/>
    <cellStyle name="Followed Hyperlink" xfId="579" builtinId="9" hidden="1"/>
    <cellStyle name="Followed Hyperlink" xfId="580" builtinId="9" hidden="1"/>
    <cellStyle name="Followed Hyperlink" xfId="581" builtinId="9" hidden="1"/>
    <cellStyle name="Hyperlink" xfId="1" builtinId="8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6</xdr:row>
      <xdr:rowOff>0</xdr:rowOff>
    </xdr:from>
    <xdr:to>
      <xdr:col>12</xdr:col>
      <xdr:colOff>304800</xdr:colOff>
      <xdr:row>7</xdr:row>
      <xdr:rowOff>114300</xdr:rowOff>
    </xdr:to>
    <xdr:sp macro="" textlink="">
      <xdr:nvSpPr>
        <xdr:cNvPr id="2" name="AutoShape 1" descr="\displaystyle {\tfrac {100}{255}}A}"/>
        <xdr:cNvSpPr>
          <a:spLocks noChangeAspect="1" noChangeArrowheads="1"/>
        </xdr:cNvSpPr>
      </xdr:nvSpPr>
      <xdr:spPr bwMode="auto">
        <a:xfrm>
          <a:off x="13157200" y="17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317500</xdr:colOff>
      <xdr:row>6</xdr:row>
      <xdr:rowOff>0</xdr:rowOff>
    </xdr:from>
    <xdr:to>
      <xdr:col>12</xdr:col>
      <xdr:colOff>622300</xdr:colOff>
      <xdr:row>7</xdr:row>
      <xdr:rowOff>114300</xdr:rowOff>
    </xdr:to>
    <xdr:sp macro="" textlink="">
      <xdr:nvSpPr>
        <xdr:cNvPr id="3" name="AutoShape 2" descr="\displaystyle {\tfrac {A}{2.55}}}"/>
        <xdr:cNvSpPr>
          <a:spLocks noChangeAspect="1" noChangeArrowheads="1"/>
        </xdr:cNvSpPr>
      </xdr:nvSpPr>
      <xdr:spPr bwMode="auto">
        <a:xfrm>
          <a:off x="13474700" y="17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304800</xdr:colOff>
      <xdr:row>8</xdr:row>
      <xdr:rowOff>114300</xdr:rowOff>
    </xdr:to>
    <xdr:sp macro="" textlink="">
      <xdr:nvSpPr>
        <xdr:cNvPr id="4" name="AutoShape 3" descr="\displaystyle A-40}"/>
        <xdr:cNvSpPr>
          <a:spLocks noChangeAspect="1" noChangeArrowheads="1"/>
        </xdr:cNvSpPr>
      </xdr:nvSpPr>
      <xdr:spPr bwMode="auto">
        <a:xfrm>
          <a:off x="13157200" y="210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304800</xdr:colOff>
      <xdr:row>10</xdr:row>
      <xdr:rowOff>114300</xdr:rowOff>
    </xdr:to>
    <xdr:sp macro="" textlink="">
      <xdr:nvSpPr>
        <xdr:cNvPr id="5" name="AutoShape 4" descr="\displaystyle {\frac {100}{128}}A-100}"/>
        <xdr:cNvSpPr>
          <a:spLocks noChangeAspect="1" noChangeArrowheads="1"/>
        </xdr:cNvSpPr>
      </xdr:nvSpPr>
      <xdr:spPr bwMode="auto">
        <a:xfrm>
          <a:off x="13157200" y="24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114300</xdr:rowOff>
    </xdr:to>
    <xdr:sp macro="" textlink="">
      <xdr:nvSpPr>
        <xdr:cNvPr id="6" name="AutoShape 5" descr="\displaystyle {\tfrac {A}{1.28}}-100}"/>
        <xdr:cNvSpPr>
          <a:spLocks noChangeAspect="1" noChangeArrowheads="1"/>
        </xdr:cNvSpPr>
      </xdr:nvSpPr>
      <xdr:spPr bwMode="auto">
        <a:xfrm>
          <a:off x="131572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13</xdr:row>
      <xdr:rowOff>0</xdr:rowOff>
    </xdr:from>
    <xdr:to>
      <xdr:col>12</xdr:col>
      <xdr:colOff>304800</xdr:colOff>
      <xdr:row>14</xdr:row>
      <xdr:rowOff>114300</xdr:rowOff>
    </xdr:to>
    <xdr:sp macro="" textlink="">
      <xdr:nvSpPr>
        <xdr:cNvPr id="7" name="AutoShape 6" descr="\displaystyle 3A}"/>
        <xdr:cNvSpPr>
          <a:spLocks noChangeAspect="1" noChangeArrowheads="1"/>
        </xdr:cNvSpPr>
      </xdr:nvSpPr>
      <xdr:spPr bwMode="auto">
        <a:xfrm>
          <a:off x="131572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14</xdr:row>
      <xdr:rowOff>0</xdr:rowOff>
    </xdr:from>
    <xdr:to>
      <xdr:col>12</xdr:col>
      <xdr:colOff>304800</xdr:colOff>
      <xdr:row>15</xdr:row>
      <xdr:rowOff>114300</xdr:rowOff>
    </xdr:to>
    <xdr:sp macro="" textlink="">
      <xdr:nvSpPr>
        <xdr:cNvPr id="8" name="AutoShape 7"/>
        <xdr:cNvSpPr>
          <a:spLocks noChangeAspect="1" noChangeArrowheads="1"/>
        </xdr:cNvSpPr>
      </xdr:nvSpPr>
      <xdr:spPr bwMode="auto">
        <a:xfrm>
          <a:off x="13157200" y="344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15</xdr:row>
      <xdr:rowOff>0</xdr:rowOff>
    </xdr:from>
    <xdr:to>
      <xdr:col>12</xdr:col>
      <xdr:colOff>304800</xdr:colOff>
      <xdr:row>16</xdr:row>
      <xdr:rowOff>114300</xdr:rowOff>
    </xdr:to>
    <xdr:sp macro="" textlink="">
      <xdr:nvSpPr>
        <xdr:cNvPr id="9" name="AutoShape 8" descr="\displaystyle {\frac {256A+B}{4}}}"/>
        <xdr:cNvSpPr>
          <a:spLocks noChangeAspect="1" noChangeArrowheads="1"/>
        </xdr:cNvSpPr>
      </xdr:nvSpPr>
      <xdr:spPr bwMode="auto">
        <a:xfrm>
          <a:off x="13157200" y="363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10" name="AutoShape 9"/>
        <xdr:cNvSpPr>
          <a:spLocks noChangeAspect="1" noChangeArrowheads="1"/>
        </xdr:cNvSpPr>
      </xdr:nvSpPr>
      <xdr:spPr bwMode="auto">
        <a:xfrm>
          <a:off x="2946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17</xdr:row>
      <xdr:rowOff>0</xdr:rowOff>
    </xdr:from>
    <xdr:to>
      <xdr:col>12</xdr:col>
      <xdr:colOff>304800</xdr:colOff>
      <xdr:row>18</xdr:row>
      <xdr:rowOff>114300</xdr:rowOff>
    </xdr:to>
    <xdr:sp macro="" textlink="">
      <xdr:nvSpPr>
        <xdr:cNvPr id="11" name="AutoShape 10" descr="\displaystyle {\frac {A}{2}}-64}"/>
        <xdr:cNvSpPr>
          <a:spLocks noChangeAspect="1" noChangeArrowheads="1"/>
        </xdr:cNvSpPr>
      </xdr:nvSpPr>
      <xdr:spPr bwMode="auto">
        <a:xfrm>
          <a:off x="13157200" y="401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18</xdr:row>
      <xdr:rowOff>0</xdr:rowOff>
    </xdr:from>
    <xdr:to>
      <xdr:col>12</xdr:col>
      <xdr:colOff>304800</xdr:colOff>
      <xdr:row>19</xdr:row>
      <xdr:rowOff>114300</xdr:rowOff>
    </xdr:to>
    <xdr:sp macro="" textlink="">
      <xdr:nvSpPr>
        <xdr:cNvPr id="12" name="AutoShape 11" descr="\displaystyle A-40}"/>
        <xdr:cNvSpPr>
          <a:spLocks noChangeAspect="1" noChangeArrowheads="1"/>
        </xdr:cNvSpPr>
      </xdr:nvSpPr>
      <xdr:spPr bwMode="auto">
        <a:xfrm>
          <a:off x="13157200" y="42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19</xdr:row>
      <xdr:rowOff>0</xdr:rowOff>
    </xdr:from>
    <xdr:to>
      <xdr:col>12</xdr:col>
      <xdr:colOff>304800</xdr:colOff>
      <xdr:row>20</xdr:row>
      <xdr:rowOff>114300</xdr:rowOff>
    </xdr:to>
    <xdr:sp macro="" textlink="">
      <xdr:nvSpPr>
        <xdr:cNvPr id="13" name="AutoShape 12" descr="\displaystyle {\frac {256A+B}{100}}}"/>
        <xdr:cNvSpPr>
          <a:spLocks noChangeAspect="1" noChangeArrowheads="1"/>
        </xdr:cNvSpPr>
      </xdr:nvSpPr>
      <xdr:spPr bwMode="auto">
        <a:xfrm>
          <a:off x="13157200" y="43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20</xdr:row>
      <xdr:rowOff>0</xdr:rowOff>
    </xdr:from>
    <xdr:to>
      <xdr:col>12</xdr:col>
      <xdr:colOff>304800</xdr:colOff>
      <xdr:row>21</xdr:row>
      <xdr:rowOff>114300</xdr:rowOff>
    </xdr:to>
    <xdr:sp macro="" textlink="">
      <xdr:nvSpPr>
        <xdr:cNvPr id="14" name="AutoShape 13" descr="\displaystyle {\tfrac {100}{255}}A}"/>
        <xdr:cNvSpPr>
          <a:spLocks noChangeAspect="1" noChangeArrowheads="1"/>
        </xdr:cNvSpPr>
      </xdr:nvSpPr>
      <xdr:spPr bwMode="auto">
        <a:xfrm>
          <a:off x="13157200" y="458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24</xdr:row>
      <xdr:rowOff>0</xdr:rowOff>
    </xdr:from>
    <xdr:to>
      <xdr:col>12</xdr:col>
      <xdr:colOff>304800</xdr:colOff>
      <xdr:row>25</xdr:row>
      <xdr:rowOff>114300</xdr:rowOff>
    </xdr:to>
    <xdr:sp macro="" textlink="">
      <xdr:nvSpPr>
        <xdr:cNvPr id="15" name="AutoShape 14" descr="\displaystyle {\frac {A}{200}}}"/>
        <xdr:cNvSpPr>
          <a:spLocks noChangeAspect="1" noChangeArrowheads="1"/>
        </xdr:cNvSpPr>
      </xdr:nvSpPr>
      <xdr:spPr bwMode="auto">
        <a:xfrm>
          <a:off x="13157200" y="572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25</xdr:row>
      <xdr:rowOff>0</xdr:rowOff>
    </xdr:from>
    <xdr:to>
      <xdr:col>12</xdr:col>
      <xdr:colOff>304800</xdr:colOff>
      <xdr:row>26</xdr:row>
      <xdr:rowOff>114300</xdr:rowOff>
    </xdr:to>
    <xdr:sp macro="" textlink="">
      <xdr:nvSpPr>
        <xdr:cNvPr id="16" name="AutoShape 15" descr="\displaystyle {\frac {100}{128}}B-100}"/>
        <xdr:cNvSpPr>
          <a:spLocks noChangeAspect="1" noChangeArrowheads="1"/>
        </xdr:cNvSpPr>
      </xdr:nvSpPr>
      <xdr:spPr bwMode="auto">
        <a:xfrm>
          <a:off x="13157200" y="610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34</xdr:row>
      <xdr:rowOff>0</xdr:rowOff>
    </xdr:from>
    <xdr:to>
      <xdr:col>12</xdr:col>
      <xdr:colOff>304800</xdr:colOff>
      <xdr:row>35</xdr:row>
      <xdr:rowOff>114300</xdr:rowOff>
    </xdr:to>
    <xdr:sp macro="" textlink="">
      <xdr:nvSpPr>
        <xdr:cNvPr id="17" name="AutoShape 16" descr="\displaystyle 256A+B}"/>
        <xdr:cNvSpPr>
          <a:spLocks noChangeAspect="1" noChangeArrowheads="1"/>
        </xdr:cNvSpPr>
      </xdr:nvSpPr>
      <xdr:spPr bwMode="auto">
        <a:xfrm>
          <a:off x="13157200" y="953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36</xdr:row>
      <xdr:rowOff>0</xdr:rowOff>
    </xdr:from>
    <xdr:to>
      <xdr:col>12</xdr:col>
      <xdr:colOff>304800</xdr:colOff>
      <xdr:row>37</xdr:row>
      <xdr:rowOff>114300</xdr:rowOff>
    </xdr:to>
    <xdr:sp macro="" textlink="">
      <xdr:nvSpPr>
        <xdr:cNvPr id="18" name="AutoShape 17" descr="\displaystyle 256A+B}"/>
        <xdr:cNvSpPr>
          <a:spLocks noChangeAspect="1" noChangeArrowheads="1"/>
        </xdr:cNvSpPr>
      </xdr:nvSpPr>
      <xdr:spPr bwMode="auto">
        <a:xfrm>
          <a:off x="13157200" y="99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37</xdr:row>
      <xdr:rowOff>0</xdr:rowOff>
    </xdr:from>
    <xdr:to>
      <xdr:col>12</xdr:col>
      <xdr:colOff>304800</xdr:colOff>
      <xdr:row>38</xdr:row>
      <xdr:rowOff>114300</xdr:rowOff>
    </xdr:to>
    <xdr:sp macro="" textlink="">
      <xdr:nvSpPr>
        <xdr:cNvPr id="19" name="AutoShape 18" descr="\displaystyle 0.079(256A+B)}"/>
        <xdr:cNvSpPr>
          <a:spLocks noChangeAspect="1" noChangeArrowheads="1"/>
        </xdr:cNvSpPr>
      </xdr:nvSpPr>
      <xdr:spPr bwMode="auto">
        <a:xfrm>
          <a:off x="13157200" y="105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38</xdr:row>
      <xdr:rowOff>0</xdr:rowOff>
    </xdr:from>
    <xdr:to>
      <xdr:col>12</xdr:col>
      <xdr:colOff>304800</xdr:colOff>
      <xdr:row>39</xdr:row>
      <xdr:rowOff>114300</xdr:rowOff>
    </xdr:to>
    <xdr:sp macro="" textlink="">
      <xdr:nvSpPr>
        <xdr:cNvPr id="20" name="AutoShape 19" descr="\displaystyle 10(256A+B)}"/>
        <xdr:cNvSpPr>
          <a:spLocks noChangeAspect="1" noChangeArrowheads="1"/>
        </xdr:cNvSpPr>
      </xdr:nvSpPr>
      <xdr:spPr bwMode="auto">
        <a:xfrm>
          <a:off x="13157200" y="108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304800</xdr:colOff>
      <xdr:row>41</xdr:row>
      <xdr:rowOff>114300</xdr:rowOff>
    </xdr:to>
    <xdr:sp macro="" textlink="">
      <xdr:nvSpPr>
        <xdr:cNvPr id="21" name="AutoShape 20" descr="\displaystyle {\frac {2}{65536}}(256A+B)}"/>
        <xdr:cNvSpPr>
          <a:spLocks noChangeAspect="1" noChangeArrowheads="1"/>
        </xdr:cNvSpPr>
      </xdr:nvSpPr>
      <xdr:spPr bwMode="auto">
        <a:xfrm>
          <a:off x="13157200" y="1164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41</xdr:row>
      <xdr:rowOff>0</xdr:rowOff>
    </xdr:from>
    <xdr:to>
      <xdr:col>12</xdr:col>
      <xdr:colOff>304800</xdr:colOff>
      <xdr:row>42</xdr:row>
      <xdr:rowOff>114300</xdr:rowOff>
    </xdr:to>
    <xdr:sp macro="" textlink="">
      <xdr:nvSpPr>
        <xdr:cNvPr id="22" name="AutoShape 21" descr="\displaystyle {\frac {8}{65536}}(256C+D)}"/>
        <xdr:cNvSpPr>
          <a:spLocks noChangeAspect="1" noChangeArrowheads="1"/>
        </xdr:cNvSpPr>
      </xdr:nvSpPr>
      <xdr:spPr bwMode="auto">
        <a:xfrm>
          <a:off x="13157200" y="1202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47</xdr:row>
      <xdr:rowOff>0</xdr:rowOff>
    </xdr:from>
    <xdr:to>
      <xdr:col>12</xdr:col>
      <xdr:colOff>304800</xdr:colOff>
      <xdr:row>48</xdr:row>
      <xdr:rowOff>114300</xdr:rowOff>
    </xdr:to>
    <xdr:sp macro="" textlink="">
      <xdr:nvSpPr>
        <xdr:cNvPr id="23" name="AutoShape 22" descr="\displaystyle {\tfrac {100}{255}}A}"/>
        <xdr:cNvSpPr>
          <a:spLocks noChangeAspect="1" noChangeArrowheads="1"/>
        </xdr:cNvSpPr>
      </xdr:nvSpPr>
      <xdr:spPr bwMode="auto">
        <a:xfrm>
          <a:off x="13157200" y="1431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48</xdr:row>
      <xdr:rowOff>0</xdr:rowOff>
    </xdr:from>
    <xdr:to>
      <xdr:col>12</xdr:col>
      <xdr:colOff>304800</xdr:colOff>
      <xdr:row>49</xdr:row>
      <xdr:rowOff>114300</xdr:rowOff>
    </xdr:to>
    <xdr:sp macro="" textlink="">
      <xdr:nvSpPr>
        <xdr:cNvPr id="24" name="AutoShape 23" descr="\displaystyle {\tfrac {100}{128}}A-100}"/>
        <xdr:cNvSpPr>
          <a:spLocks noChangeAspect="1" noChangeArrowheads="1"/>
        </xdr:cNvSpPr>
      </xdr:nvSpPr>
      <xdr:spPr bwMode="auto">
        <a:xfrm>
          <a:off x="131572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49</xdr:row>
      <xdr:rowOff>0</xdr:rowOff>
    </xdr:from>
    <xdr:to>
      <xdr:col>12</xdr:col>
      <xdr:colOff>304800</xdr:colOff>
      <xdr:row>50</xdr:row>
      <xdr:rowOff>114300</xdr:rowOff>
    </xdr:to>
    <xdr:sp macro="" textlink="">
      <xdr:nvSpPr>
        <xdr:cNvPr id="25" name="AutoShape 24" descr="\displaystyle {\tfrac {100}{255}}A}"/>
        <xdr:cNvSpPr>
          <a:spLocks noChangeAspect="1" noChangeArrowheads="1"/>
        </xdr:cNvSpPr>
      </xdr:nvSpPr>
      <xdr:spPr bwMode="auto">
        <a:xfrm>
          <a:off x="13157200" y="1469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50</xdr:row>
      <xdr:rowOff>0</xdr:rowOff>
    </xdr:from>
    <xdr:to>
      <xdr:col>12</xdr:col>
      <xdr:colOff>304800</xdr:colOff>
      <xdr:row>51</xdr:row>
      <xdr:rowOff>114300</xdr:rowOff>
    </xdr:to>
    <xdr:sp macro="" textlink="">
      <xdr:nvSpPr>
        <xdr:cNvPr id="26" name="AutoShape 25" descr="\displaystyle {\tfrac {100}{255}}A}"/>
        <xdr:cNvSpPr>
          <a:spLocks noChangeAspect="1" noChangeArrowheads="1"/>
        </xdr:cNvSpPr>
      </xdr:nvSpPr>
      <xdr:spPr bwMode="auto">
        <a:xfrm>
          <a:off x="13157200" y="1488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51</xdr:row>
      <xdr:rowOff>0</xdr:rowOff>
    </xdr:from>
    <xdr:to>
      <xdr:col>12</xdr:col>
      <xdr:colOff>304800</xdr:colOff>
      <xdr:row>52</xdr:row>
      <xdr:rowOff>114300</xdr:rowOff>
    </xdr:to>
    <xdr:sp macro="" textlink="">
      <xdr:nvSpPr>
        <xdr:cNvPr id="27" name="AutoShape 26"/>
        <xdr:cNvSpPr>
          <a:spLocks noChangeAspect="1" noChangeArrowheads="1"/>
        </xdr:cNvSpPr>
      </xdr:nvSpPr>
      <xdr:spPr bwMode="auto">
        <a:xfrm>
          <a:off x="13157200" y="1507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52</xdr:row>
      <xdr:rowOff>0</xdr:rowOff>
    </xdr:from>
    <xdr:to>
      <xdr:col>12</xdr:col>
      <xdr:colOff>304800</xdr:colOff>
      <xdr:row>53</xdr:row>
      <xdr:rowOff>114300</xdr:rowOff>
    </xdr:to>
    <xdr:sp macro="" textlink="">
      <xdr:nvSpPr>
        <xdr:cNvPr id="28" name="AutoShape 27" descr="\displaystyle 256A+B}"/>
        <xdr:cNvSpPr>
          <a:spLocks noChangeAspect="1" noChangeArrowheads="1"/>
        </xdr:cNvSpPr>
      </xdr:nvSpPr>
      <xdr:spPr bwMode="auto">
        <a:xfrm>
          <a:off x="13157200" y="152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53</xdr:row>
      <xdr:rowOff>0</xdr:rowOff>
    </xdr:from>
    <xdr:to>
      <xdr:col>12</xdr:col>
      <xdr:colOff>304800</xdr:colOff>
      <xdr:row>54</xdr:row>
      <xdr:rowOff>114300</xdr:rowOff>
    </xdr:to>
    <xdr:sp macro="" textlink="">
      <xdr:nvSpPr>
        <xdr:cNvPr id="29" name="AutoShape 28" descr="\displaystyle {\frac {256A+B}{4}}}"/>
        <xdr:cNvSpPr>
          <a:spLocks noChangeAspect="1" noChangeArrowheads="1"/>
        </xdr:cNvSpPr>
      </xdr:nvSpPr>
      <xdr:spPr bwMode="auto">
        <a:xfrm>
          <a:off x="131572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54</xdr:row>
      <xdr:rowOff>0</xdr:rowOff>
    </xdr:from>
    <xdr:to>
      <xdr:col>12</xdr:col>
      <xdr:colOff>304800</xdr:colOff>
      <xdr:row>55</xdr:row>
      <xdr:rowOff>114300</xdr:rowOff>
    </xdr:to>
    <xdr:sp macro="" textlink="">
      <xdr:nvSpPr>
        <xdr:cNvPr id="30" name="AutoShape 29"/>
        <xdr:cNvSpPr>
          <a:spLocks noChangeAspect="1" noChangeArrowheads="1"/>
        </xdr:cNvSpPr>
      </xdr:nvSpPr>
      <xdr:spPr bwMode="auto">
        <a:xfrm>
          <a:off x="13157200" y="1602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56</xdr:row>
      <xdr:rowOff>0</xdr:rowOff>
    </xdr:from>
    <xdr:to>
      <xdr:col>12</xdr:col>
      <xdr:colOff>304800</xdr:colOff>
      <xdr:row>57</xdr:row>
      <xdr:rowOff>114300</xdr:rowOff>
    </xdr:to>
    <xdr:sp macro="" textlink="">
      <xdr:nvSpPr>
        <xdr:cNvPr id="31" name="AutoShape 30" descr="\displaystyle {\frac {2}{65536}}(256A+B)}"/>
        <xdr:cNvSpPr>
          <a:spLocks noChangeAspect="1" noChangeArrowheads="1"/>
        </xdr:cNvSpPr>
      </xdr:nvSpPr>
      <xdr:spPr bwMode="auto">
        <a:xfrm>
          <a:off x="13157200" y="1659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57</xdr:row>
      <xdr:rowOff>0</xdr:rowOff>
    </xdr:from>
    <xdr:to>
      <xdr:col>12</xdr:col>
      <xdr:colOff>304800</xdr:colOff>
      <xdr:row>58</xdr:row>
      <xdr:rowOff>114300</xdr:rowOff>
    </xdr:to>
    <xdr:sp macro="" textlink="">
      <xdr:nvSpPr>
        <xdr:cNvPr id="32" name="AutoShape 31" descr="\displaystyle {\frac {256C+D}{256}}-128}"/>
        <xdr:cNvSpPr>
          <a:spLocks noChangeAspect="1" noChangeArrowheads="1"/>
        </xdr:cNvSpPr>
      </xdr:nvSpPr>
      <xdr:spPr bwMode="auto">
        <a:xfrm>
          <a:off x="13157200" y="171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58</xdr:row>
      <xdr:rowOff>0</xdr:rowOff>
    </xdr:from>
    <xdr:to>
      <xdr:col>12</xdr:col>
      <xdr:colOff>304800</xdr:colOff>
      <xdr:row>59</xdr:row>
      <xdr:rowOff>114300</xdr:rowOff>
    </xdr:to>
    <xdr:sp macro="" textlink="">
      <xdr:nvSpPr>
        <xdr:cNvPr id="33" name="AutoShape 32" descr="\displaystyle C+{\frac {D}{256}}-128}"/>
        <xdr:cNvSpPr>
          <a:spLocks noChangeAspect="1" noChangeArrowheads="1"/>
        </xdr:cNvSpPr>
      </xdr:nvSpPr>
      <xdr:spPr bwMode="auto">
        <a:xfrm>
          <a:off x="13157200" y="175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63</xdr:row>
      <xdr:rowOff>0</xdr:rowOff>
    </xdr:from>
    <xdr:to>
      <xdr:col>12</xdr:col>
      <xdr:colOff>304800</xdr:colOff>
      <xdr:row>64</xdr:row>
      <xdr:rowOff>114300</xdr:rowOff>
    </xdr:to>
    <xdr:sp macro="" textlink="">
      <xdr:nvSpPr>
        <xdr:cNvPr id="34" name="AutoShape 33" descr="\displaystyle {\frac {256A+B}{10}}-40}"/>
        <xdr:cNvSpPr>
          <a:spLocks noChangeAspect="1" noChangeArrowheads="1"/>
        </xdr:cNvSpPr>
      </xdr:nvSpPr>
      <xdr:spPr bwMode="auto">
        <a:xfrm>
          <a:off x="13157200" y="1945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69</xdr:row>
      <xdr:rowOff>0</xdr:rowOff>
    </xdr:from>
    <xdr:to>
      <xdr:col>12</xdr:col>
      <xdr:colOff>304800</xdr:colOff>
      <xdr:row>70</xdr:row>
      <xdr:rowOff>114300</xdr:rowOff>
    </xdr:to>
    <xdr:sp macro="" textlink="">
      <xdr:nvSpPr>
        <xdr:cNvPr id="35" name="AutoShape 34" descr="\displaystyle {\frac {256A+B}{1000}}}"/>
        <xdr:cNvSpPr>
          <a:spLocks noChangeAspect="1" noChangeArrowheads="1"/>
        </xdr:cNvSpPr>
      </xdr:nvSpPr>
      <xdr:spPr bwMode="auto">
        <a:xfrm>
          <a:off x="1315720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70</xdr:row>
      <xdr:rowOff>0</xdr:rowOff>
    </xdr:from>
    <xdr:to>
      <xdr:col>12</xdr:col>
      <xdr:colOff>304800</xdr:colOff>
      <xdr:row>71</xdr:row>
      <xdr:rowOff>114300</xdr:rowOff>
    </xdr:to>
    <xdr:sp macro="" textlink="">
      <xdr:nvSpPr>
        <xdr:cNvPr id="36" name="AutoShape 35" descr="\displaystyle {\tfrac {100}{255}}(256A+B)}"/>
        <xdr:cNvSpPr>
          <a:spLocks noChangeAspect="1" noChangeArrowheads="1"/>
        </xdr:cNvSpPr>
      </xdr:nvSpPr>
      <xdr:spPr bwMode="auto">
        <a:xfrm>
          <a:off x="13157200" y="2156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71</xdr:row>
      <xdr:rowOff>0</xdr:rowOff>
    </xdr:from>
    <xdr:to>
      <xdr:col>12</xdr:col>
      <xdr:colOff>304800</xdr:colOff>
      <xdr:row>72</xdr:row>
      <xdr:rowOff>114300</xdr:rowOff>
    </xdr:to>
    <xdr:sp macro="" textlink="">
      <xdr:nvSpPr>
        <xdr:cNvPr id="37" name="AutoShape 36" descr="\displaystyle {\tfrac {2}{65536}}(256A+B)}"/>
        <xdr:cNvSpPr>
          <a:spLocks noChangeAspect="1" noChangeArrowheads="1"/>
        </xdr:cNvSpPr>
      </xdr:nvSpPr>
      <xdr:spPr bwMode="auto">
        <a:xfrm>
          <a:off x="131572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72</xdr:row>
      <xdr:rowOff>0</xdr:rowOff>
    </xdr:from>
    <xdr:to>
      <xdr:col>12</xdr:col>
      <xdr:colOff>304800</xdr:colOff>
      <xdr:row>73</xdr:row>
      <xdr:rowOff>114300</xdr:rowOff>
    </xdr:to>
    <xdr:sp macro="" textlink="">
      <xdr:nvSpPr>
        <xdr:cNvPr id="38" name="AutoShape 37" descr="\displaystyle {\tfrac {100}{255}}A}"/>
        <xdr:cNvSpPr>
          <a:spLocks noChangeAspect="1" noChangeArrowheads="1"/>
        </xdr:cNvSpPr>
      </xdr:nvSpPr>
      <xdr:spPr bwMode="auto">
        <a:xfrm>
          <a:off x="13157200" y="2232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73</xdr:row>
      <xdr:rowOff>0</xdr:rowOff>
    </xdr:from>
    <xdr:to>
      <xdr:col>12</xdr:col>
      <xdr:colOff>304800</xdr:colOff>
      <xdr:row>74</xdr:row>
      <xdr:rowOff>114300</xdr:rowOff>
    </xdr:to>
    <xdr:sp macro="" textlink="">
      <xdr:nvSpPr>
        <xdr:cNvPr id="39" name="AutoShape 38" descr="\displaystyle A-40}"/>
        <xdr:cNvSpPr>
          <a:spLocks noChangeAspect="1" noChangeArrowheads="1"/>
        </xdr:cNvSpPr>
      </xdr:nvSpPr>
      <xdr:spPr bwMode="auto">
        <a:xfrm>
          <a:off x="13157200" y="2251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74</xdr:row>
      <xdr:rowOff>0</xdr:rowOff>
    </xdr:from>
    <xdr:to>
      <xdr:col>12</xdr:col>
      <xdr:colOff>304800</xdr:colOff>
      <xdr:row>75</xdr:row>
      <xdr:rowOff>114300</xdr:rowOff>
    </xdr:to>
    <xdr:sp macro="" textlink="">
      <xdr:nvSpPr>
        <xdr:cNvPr id="40" name="AutoShape 39" descr="\displaystyle {\frac {100}{255}}A}"/>
        <xdr:cNvSpPr>
          <a:spLocks noChangeAspect="1" noChangeArrowheads="1"/>
        </xdr:cNvSpPr>
      </xdr:nvSpPr>
      <xdr:spPr bwMode="auto">
        <a:xfrm>
          <a:off x="13157200" y="2270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80</xdr:row>
      <xdr:rowOff>0</xdr:rowOff>
    </xdr:from>
    <xdr:to>
      <xdr:col>12</xdr:col>
      <xdr:colOff>304800</xdr:colOff>
      <xdr:row>81</xdr:row>
      <xdr:rowOff>114300</xdr:rowOff>
    </xdr:to>
    <xdr:sp macro="" textlink="">
      <xdr:nvSpPr>
        <xdr:cNvPr id="41" name="AutoShape 40" descr="\displaystyle 256A+B}"/>
        <xdr:cNvSpPr>
          <a:spLocks noChangeAspect="1" noChangeArrowheads="1"/>
        </xdr:cNvSpPr>
      </xdr:nvSpPr>
      <xdr:spPr bwMode="auto">
        <a:xfrm>
          <a:off x="13157200" y="2385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85</xdr:row>
      <xdr:rowOff>0</xdr:rowOff>
    </xdr:from>
    <xdr:to>
      <xdr:col>12</xdr:col>
      <xdr:colOff>304800</xdr:colOff>
      <xdr:row>86</xdr:row>
      <xdr:rowOff>114300</xdr:rowOff>
    </xdr:to>
    <xdr:sp macro="" textlink="">
      <xdr:nvSpPr>
        <xdr:cNvPr id="42" name="AutoShape 41" descr="\displaystyle {\tfrac {100}{255}}A}"/>
        <xdr:cNvSpPr>
          <a:spLocks noChangeAspect="1" noChangeArrowheads="1"/>
        </xdr:cNvSpPr>
      </xdr:nvSpPr>
      <xdr:spPr bwMode="auto">
        <a:xfrm>
          <a:off x="13157200" y="257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86</xdr:row>
      <xdr:rowOff>0</xdr:rowOff>
    </xdr:from>
    <xdr:to>
      <xdr:col>12</xdr:col>
      <xdr:colOff>304800</xdr:colOff>
      <xdr:row>87</xdr:row>
      <xdr:rowOff>114300</xdr:rowOff>
    </xdr:to>
    <xdr:sp macro="" textlink="">
      <xdr:nvSpPr>
        <xdr:cNvPr id="43" name="AutoShape 42" descr="\displaystyle {\frac {256A+B}{200}}}"/>
        <xdr:cNvSpPr>
          <a:spLocks noChangeAspect="1" noChangeArrowheads="1"/>
        </xdr:cNvSpPr>
      </xdr:nvSpPr>
      <xdr:spPr bwMode="auto">
        <a:xfrm>
          <a:off x="13157200" y="2594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88</xdr:row>
      <xdr:rowOff>0</xdr:rowOff>
    </xdr:from>
    <xdr:to>
      <xdr:col>12</xdr:col>
      <xdr:colOff>304800</xdr:colOff>
      <xdr:row>89</xdr:row>
      <xdr:rowOff>114300</xdr:rowOff>
    </xdr:to>
    <xdr:sp macro="" textlink="">
      <xdr:nvSpPr>
        <xdr:cNvPr id="44" name="AutoShape 43" descr="\displaystyle {\frac {100}{128}}A-100}"/>
        <xdr:cNvSpPr>
          <a:spLocks noChangeAspect="1" noChangeArrowheads="1"/>
        </xdr:cNvSpPr>
      </xdr:nvSpPr>
      <xdr:spPr bwMode="auto">
        <a:xfrm>
          <a:off x="13157200" y="265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91</xdr:row>
      <xdr:rowOff>0</xdr:rowOff>
    </xdr:from>
    <xdr:to>
      <xdr:col>12</xdr:col>
      <xdr:colOff>304800</xdr:colOff>
      <xdr:row>92</xdr:row>
      <xdr:rowOff>114300</xdr:rowOff>
    </xdr:to>
    <xdr:sp macro="" textlink="">
      <xdr:nvSpPr>
        <xdr:cNvPr id="45" name="AutoShape 44" descr="\displaystyle {\frac {100}{128}}B-100}"/>
        <xdr:cNvSpPr>
          <a:spLocks noChangeAspect="1" noChangeArrowheads="1"/>
        </xdr:cNvSpPr>
      </xdr:nvSpPr>
      <xdr:spPr bwMode="auto">
        <a:xfrm>
          <a:off x="13157200" y="2766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92</xdr:row>
      <xdr:rowOff>0</xdr:rowOff>
    </xdr:from>
    <xdr:to>
      <xdr:col>12</xdr:col>
      <xdr:colOff>304800</xdr:colOff>
      <xdr:row>93</xdr:row>
      <xdr:rowOff>114300</xdr:rowOff>
    </xdr:to>
    <xdr:sp macro="" textlink="">
      <xdr:nvSpPr>
        <xdr:cNvPr id="46" name="AutoShape 45" descr="\displaystyle 10(256A+B)}"/>
        <xdr:cNvSpPr>
          <a:spLocks noChangeAspect="1" noChangeArrowheads="1"/>
        </xdr:cNvSpPr>
      </xdr:nvSpPr>
      <xdr:spPr bwMode="auto">
        <a:xfrm>
          <a:off x="13157200" y="280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93</xdr:row>
      <xdr:rowOff>0</xdr:rowOff>
    </xdr:from>
    <xdr:to>
      <xdr:col>12</xdr:col>
      <xdr:colOff>304800</xdr:colOff>
      <xdr:row>94</xdr:row>
      <xdr:rowOff>114300</xdr:rowOff>
    </xdr:to>
    <xdr:sp macro="" textlink="">
      <xdr:nvSpPr>
        <xdr:cNvPr id="47" name="AutoShape 46" descr="\displaystyle {\tfrac {100}{255}}A}"/>
        <xdr:cNvSpPr>
          <a:spLocks noChangeAspect="1" noChangeArrowheads="1"/>
        </xdr:cNvSpPr>
      </xdr:nvSpPr>
      <xdr:spPr bwMode="auto">
        <a:xfrm>
          <a:off x="13157200" y="282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94</xdr:row>
      <xdr:rowOff>0</xdr:rowOff>
    </xdr:from>
    <xdr:to>
      <xdr:col>12</xdr:col>
      <xdr:colOff>304800</xdr:colOff>
      <xdr:row>95</xdr:row>
      <xdr:rowOff>114300</xdr:rowOff>
    </xdr:to>
    <xdr:sp macro="" textlink="">
      <xdr:nvSpPr>
        <xdr:cNvPr id="48" name="AutoShape 47" descr="\displaystyle {\tfrac {100}{255}}A}"/>
        <xdr:cNvSpPr>
          <a:spLocks noChangeAspect="1" noChangeArrowheads="1"/>
        </xdr:cNvSpPr>
      </xdr:nvSpPr>
      <xdr:spPr bwMode="auto">
        <a:xfrm>
          <a:off x="131572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95</xdr:row>
      <xdr:rowOff>0</xdr:rowOff>
    </xdr:from>
    <xdr:to>
      <xdr:col>12</xdr:col>
      <xdr:colOff>304800</xdr:colOff>
      <xdr:row>96</xdr:row>
      <xdr:rowOff>114300</xdr:rowOff>
    </xdr:to>
    <xdr:sp macro="" textlink="">
      <xdr:nvSpPr>
        <xdr:cNvPr id="49" name="AutoShape 48" descr="\displaystyle A-40}"/>
        <xdr:cNvSpPr>
          <a:spLocks noChangeAspect="1" noChangeArrowheads="1"/>
        </xdr:cNvSpPr>
      </xdr:nvSpPr>
      <xdr:spPr bwMode="auto">
        <a:xfrm>
          <a:off x="13157200" y="2861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96</xdr:row>
      <xdr:rowOff>0</xdr:rowOff>
    </xdr:from>
    <xdr:to>
      <xdr:col>12</xdr:col>
      <xdr:colOff>304800</xdr:colOff>
      <xdr:row>97</xdr:row>
      <xdr:rowOff>114300</xdr:rowOff>
    </xdr:to>
    <xdr:sp macro="" textlink="">
      <xdr:nvSpPr>
        <xdr:cNvPr id="50" name="AutoShape 49" descr="\displaystyle {\frac {256A+B}{128}}-210}"/>
        <xdr:cNvSpPr>
          <a:spLocks noChangeAspect="1" noChangeArrowheads="1"/>
        </xdr:cNvSpPr>
      </xdr:nvSpPr>
      <xdr:spPr bwMode="auto">
        <a:xfrm>
          <a:off x="13157200" y="2880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97</xdr:row>
      <xdr:rowOff>0</xdr:rowOff>
    </xdr:from>
    <xdr:to>
      <xdr:col>12</xdr:col>
      <xdr:colOff>304800</xdr:colOff>
      <xdr:row>98</xdr:row>
      <xdr:rowOff>114300</xdr:rowOff>
    </xdr:to>
    <xdr:sp macro="" textlink="">
      <xdr:nvSpPr>
        <xdr:cNvPr id="51" name="AutoShape 50" descr="\displaystyle {\frac {256A+B}{20}}}"/>
        <xdr:cNvSpPr>
          <a:spLocks noChangeAspect="1" noChangeArrowheads="1"/>
        </xdr:cNvSpPr>
      </xdr:nvSpPr>
      <xdr:spPr bwMode="auto">
        <a:xfrm>
          <a:off x="13157200" y="2918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102</xdr:row>
      <xdr:rowOff>0</xdr:rowOff>
    </xdr:from>
    <xdr:to>
      <xdr:col>12</xdr:col>
      <xdr:colOff>304800</xdr:colOff>
      <xdr:row>103</xdr:row>
      <xdr:rowOff>114300</xdr:rowOff>
    </xdr:to>
    <xdr:sp macro="" textlink="">
      <xdr:nvSpPr>
        <xdr:cNvPr id="52" name="AutoShape 51" descr="\displaystyle 256A+B}"/>
        <xdr:cNvSpPr>
          <a:spLocks noChangeAspect="1" noChangeArrowheads="1"/>
        </xdr:cNvSpPr>
      </xdr:nvSpPr>
      <xdr:spPr bwMode="auto">
        <a:xfrm>
          <a:off x="13157200" y="3053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114300</xdr:rowOff>
    </xdr:to>
    <xdr:sp macro="" textlink="">
      <xdr:nvSpPr>
        <xdr:cNvPr id="53" name="AutoShape 52"/>
        <xdr:cNvSpPr>
          <a:spLocks noChangeAspect="1" noChangeArrowheads="1"/>
        </xdr:cNvSpPr>
      </xdr:nvSpPr>
      <xdr:spPr bwMode="auto">
        <a:xfrm>
          <a:off x="33655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6</xdr:row>
      <xdr:rowOff>0</xdr:rowOff>
    </xdr:from>
    <xdr:to>
      <xdr:col>12</xdr:col>
      <xdr:colOff>304800</xdr:colOff>
      <xdr:row>6</xdr:row>
      <xdr:rowOff>304800</xdr:rowOff>
    </xdr:to>
    <xdr:sp macro="" textlink="">
      <xdr:nvSpPr>
        <xdr:cNvPr id="2049" name="AutoShape 1" descr="\displaystyle {\tfrac {100}{255}}A}"/>
        <xdr:cNvSpPr>
          <a:spLocks noChangeAspect="1" noChangeArrowheads="1"/>
        </xdr:cNvSpPr>
      </xdr:nvSpPr>
      <xdr:spPr bwMode="auto">
        <a:xfrm>
          <a:off x="13157200" y="17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317500</xdr:colOff>
      <xdr:row>6</xdr:row>
      <xdr:rowOff>0</xdr:rowOff>
    </xdr:from>
    <xdr:to>
      <xdr:col>12</xdr:col>
      <xdr:colOff>622300</xdr:colOff>
      <xdr:row>6</xdr:row>
      <xdr:rowOff>304800</xdr:rowOff>
    </xdr:to>
    <xdr:sp macro="" textlink="">
      <xdr:nvSpPr>
        <xdr:cNvPr id="2050" name="AutoShape 2" descr="\displaystyle {\tfrac {A}{2.55}}}"/>
        <xdr:cNvSpPr>
          <a:spLocks noChangeAspect="1" noChangeArrowheads="1"/>
        </xdr:cNvSpPr>
      </xdr:nvSpPr>
      <xdr:spPr bwMode="auto">
        <a:xfrm>
          <a:off x="13474700" y="172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304800</xdr:colOff>
      <xdr:row>8</xdr:row>
      <xdr:rowOff>114300</xdr:rowOff>
    </xdr:to>
    <xdr:sp macro="" textlink="">
      <xdr:nvSpPr>
        <xdr:cNvPr id="2051" name="AutoShape 3" descr="\displaystyle A-40}"/>
        <xdr:cNvSpPr>
          <a:spLocks noChangeAspect="1" noChangeArrowheads="1"/>
        </xdr:cNvSpPr>
      </xdr:nvSpPr>
      <xdr:spPr bwMode="auto">
        <a:xfrm>
          <a:off x="13157200" y="210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</xdr:row>
      <xdr:rowOff>0</xdr:rowOff>
    </xdr:from>
    <xdr:to>
      <xdr:col>12</xdr:col>
      <xdr:colOff>304800</xdr:colOff>
      <xdr:row>10</xdr:row>
      <xdr:rowOff>114300</xdr:rowOff>
    </xdr:to>
    <xdr:sp macro="" textlink="">
      <xdr:nvSpPr>
        <xdr:cNvPr id="2052" name="AutoShape 4" descr="\displaystyle {\frac {100}{128}}A-100}"/>
        <xdr:cNvSpPr>
          <a:spLocks noChangeAspect="1" noChangeArrowheads="1"/>
        </xdr:cNvSpPr>
      </xdr:nvSpPr>
      <xdr:spPr bwMode="auto">
        <a:xfrm>
          <a:off x="13157200" y="24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114300</xdr:rowOff>
    </xdr:to>
    <xdr:sp macro="" textlink="">
      <xdr:nvSpPr>
        <xdr:cNvPr id="2053" name="AutoShape 5" descr="\displaystyle {\tfrac {A}{1.28}}-100}"/>
        <xdr:cNvSpPr>
          <a:spLocks noChangeAspect="1" noChangeArrowheads="1"/>
        </xdr:cNvSpPr>
      </xdr:nvSpPr>
      <xdr:spPr bwMode="auto">
        <a:xfrm>
          <a:off x="13157200" y="306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13</xdr:row>
      <xdr:rowOff>0</xdr:rowOff>
    </xdr:from>
    <xdr:to>
      <xdr:col>12</xdr:col>
      <xdr:colOff>304800</xdr:colOff>
      <xdr:row>14</xdr:row>
      <xdr:rowOff>114300</xdr:rowOff>
    </xdr:to>
    <xdr:sp macro="" textlink="">
      <xdr:nvSpPr>
        <xdr:cNvPr id="2054" name="AutoShape 6" descr="\displaystyle 3A}"/>
        <xdr:cNvSpPr>
          <a:spLocks noChangeAspect="1" noChangeArrowheads="1"/>
        </xdr:cNvSpPr>
      </xdr:nvSpPr>
      <xdr:spPr bwMode="auto">
        <a:xfrm>
          <a:off x="13157200" y="325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14</xdr:row>
      <xdr:rowOff>0</xdr:rowOff>
    </xdr:from>
    <xdr:to>
      <xdr:col>12</xdr:col>
      <xdr:colOff>304800</xdr:colOff>
      <xdr:row>15</xdr:row>
      <xdr:rowOff>114300</xdr:rowOff>
    </xdr:to>
    <xdr:sp macro="" textlink="">
      <xdr:nvSpPr>
        <xdr:cNvPr id="2055" name="AutoShape 7"/>
        <xdr:cNvSpPr>
          <a:spLocks noChangeAspect="1" noChangeArrowheads="1"/>
        </xdr:cNvSpPr>
      </xdr:nvSpPr>
      <xdr:spPr bwMode="auto">
        <a:xfrm>
          <a:off x="13157200" y="344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15</xdr:row>
      <xdr:rowOff>0</xdr:rowOff>
    </xdr:from>
    <xdr:to>
      <xdr:col>12</xdr:col>
      <xdr:colOff>304800</xdr:colOff>
      <xdr:row>16</xdr:row>
      <xdr:rowOff>114300</xdr:rowOff>
    </xdr:to>
    <xdr:sp macro="" textlink="">
      <xdr:nvSpPr>
        <xdr:cNvPr id="2056" name="AutoShape 8" descr="\displaystyle {\frac {256A+B}{4}}}"/>
        <xdr:cNvSpPr>
          <a:spLocks noChangeAspect="1" noChangeArrowheads="1"/>
        </xdr:cNvSpPr>
      </xdr:nvSpPr>
      <xdr:spPr bwMode="auto">
        <a:xfrm>
          <a:off x="13157200" y="363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057" name="AutoShape 9"/>
        <xdr:cNvSpPr>
          <a:spLocks noChangeAspect="1" noChangeArrowheads="1"/>
        </xdr:cNvSpPr>
      </xdr:nvSpPr>
      <xdr:spPr bwMode="auto">
        <a:xfrm>
          <a:off x="2946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17</xdr:row>
      <xdr:rowOff>0</xdr:rowOff>
    </xdr:from>
    <xdr:to>
      <xdr:col>12</xdr:col>
      <xdr:colOff>304800</xdr:colOff>
      <xdr:row>18</xdr:row>
      <xdr:rowOff>114300</xdr:rowOff>
    </xdr:to>
    <xdr:sp macro="" textlink="">
      <xdr:nvSpPr>
        <xdr:cNvPr id="2058" name="AutoShape 10" descr="\displaystyle {\frac {A}{2}}-64}"/>
        <xdr:cNvSpPr>
          <a:spLocks noChangeAspect="1" noChangeArrowheads="1"/>
        </xdr:cNvSpPr>
      </xdr:nvSpPr>
      <xdr:spPr bwMode="auto">
        <a:xfrm>
          <a:off x="13157200" y="401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18</xdr:row>
      <xdr:rowOff>0</xdr:rowOff>
    </xdr:from>
    <xdr:to>
      <xdr:col>12</xdr:col>
      <xdr:colOff>304800</xdr:colOff>
      <xdr:row>19</xdr:row>
      <xdr:rowOff>114300</xdr:rowOff>
    </xdr:to>
    <xdr:sp macro="" textlink="">
      <xdr:nvSpPr>
        <xdr:cNvPr id="2059" name="AutoShape 11" descr="\displaystyle A-40}"/>
        <xdr:cNvSpPr>
          <a:spLocks noChangeAspect="1" noChangeArrowheads="1"/>
        </xdr:cNvSpPr>
      </xdr:nvSpPr>
      <xdr:spPr bwMode="auto">
        <a:xfrm>
          <a:off x="13157200" y="42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19</xdr:row>
      <xdr:rowOff>0</xdr:rowOff>
    </xdr:from>
    <xdr:to>
      <xdr:col>12</xdr:col>
      <xdr:colOff>304800</xdr:colOff>
      <xdr:row>20</xdr:row>
      <xdr:rowOff>114300</xdr:rowOff>
    </xdr:to>
    <xdr:sp macro="" textlink="">
      <xdr:nvSpPr>
        <xdr:cNvPr id="2060" name="AutoShape 12" descr="\displaystyle {\frac {256A+B}{100}}}"/>
        <xdr:cNvSpPr>
          <a:spLocks noChangeAspect="1" noChangeArrowheads="1"/>
        </xdr:cNvSpPr>
      </xdr:nvSpPr>
      <xdr:spPr bwMode="auto">
        <a:xfrm>
          <a:off x="13157200" y="43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20</xdr:row>
      <xdr:rowOff>0</xdr:rowOff>
    </xdr:from>
    <xdr:to>
      <xdr:col>12</xdr:col>
      <xdr:colOff>304800</xdr:colOff>
      <xdr:row>21</xdr:row>
      <xdr:rowOff>114300</xdr:rowOff>
    </xdr:to>
    <xdr:sp macro="" textlink="">
      <xdr:nvSpPr>
        <xdr:cNvPr id="2061" name="AutoShape 13" descr="\displaystyle {\tfrac {100}{255}}A}"/>
        <xdr:cNvSpPr>
          <a:spLocks noChangeAspect="1" noChangeArrowheads="1"/>
        </xdr:cNvSpPr>
      </xdr:nvSpPr>
      <xdr:spPr bwMode="auto">
        <a:xfrm>
          <a:off x="13157200" y="458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24</xdr:row>
      <xdr:rowOff>0</xdr:rowOff>
    </xdr:from>
    <xdr:to>
      <xdr:col>12</xdr:col>
      <xdr:colOff>304800</xdr:colOff>
      <xdr:row>24</xdr:row>
      <xdr:rowOff>304800</xdr:rowOff>
    </xdr:to>
    <xdr:sp macro="" textlink="">
      <xdr:nvSpPr>
        <xdr:cNvPr id="2062" name="AutoShape 14" descr="\displaystyle {\frac {A}{200}}}"/>
        <xdr:cNvSpPr>
          <a:spLocks noChangeAspect="1" noChangeArrowheads="1"/>
        </xdr:cNvSpPr>
      </xdr:nvSpPr>
      <xdr:spPr bwMode="auto">
        <a:xfrm>
          <a:off x="13157200" y="572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25</xdr:row>
      <xdr:rowOff>0</xdr:rowOff>
    </xdr:from>
    <xdr:to>
      <xdr:col>12</xdr:col>
      <xdr:colOff>304800</xdr:colOff>
      <xdr:row>25</xdr:row>
      <xdr:rowOff>304800</xdr:rowOff>
    </xdr:to>
    <xdr:sp macro="" textlink="">
      <xdr:nvSpPr>
        <xdr:cNvPr id="2063" name="AutoShape 15" descr="\displaystyle {\frac {100}{128}}B-100}"/>
        <xdr:cNvSpPr>
          <a:spLocks noChangeAspect="1" noChangeArrowheads="1"/>
        </xdr:cNvSpPr>
      </xdr:nvSpPr>
      <xdr:spPr bwMode="auto">
        <a:xfrm>
          <a:off x="13157200" y="610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34</xdr:row>
      <xdr:rowOff>0</xdr:rowOff>
    </xdr:from>
    <xdr:to>
      <xdr:col>12</xdr:col>
      <xdr:colOff>304800</xdr:colOff>
      <xdr:row>35</xdr:row>
      <xdr:rowOff>114300</xdr:rowOff>
    </xdr:to>
    <xdr:sp macro="" textlink="">
      <xdr:nvSpPr>
        <xdr:cNvPr id="2064" name="AutoShape 16" descr="\displaystyle 256A+B}"/>
        <xdr:cNvSpPr>
          <a:spLocks noChangeAspect="1" noChangeArrowheads="1"/>
        </xdr:cNvSpPr>
      </xdr:nvSpPr>
      <xdr:spPr bwMode="auto">
        <a:xfrm>
          <a:off x="13157200" y="953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36</xdr:row>
      <xdr:rowOff>0</xdr:rowOff>
    </xdr:from>
    <xdr:to>
      <xdr:col>12</xdr:col>
      <xdr:colOff>304800</xdr:colOff>
      <xdr:row>36</xdr:row>
      <xdr:rowOff>304800</xdr:rowOff>
    </xdr:to>
    <xdr:sp macro="" textlink="">
      <xdr:nvSpPr>
        <xdr:cNvPr id="2065" name="AutoShape 17" descr="\displaystyle 256A+B}"/>
        <xdr:cNvSpPr>
          <a:spLocks noChangeAspect="1" noChangeArrowheads="1"/>
        </xdr:cNvSpPr>
      </xdr:nvSpPr>
      <xdr:spPr bwMode="auto">
        <a:xfrm>
          <a:off x="13157200" y="99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37</xdr:row>
      <xdr:rowOff>0</xdr:rowOff>
    </xdr:from>
    <xdr:to>
      <xdr:col>12</xdr:col>
      <xdr:colOff>304800</xdr:colOff>
      <xdr:row>37</xdr:row>
      <xdr:rowOff>304800</xdr:rowOff>
    </xdr:to>
    <xdr:sp macro="" textlink="">
      <xdr:nvSpPr>
        <xdr:cNvPr id="2066" name="AutoShape 18" descr="\displaystyle 0.079(256A+B)}"/>
        <xdr:cNvSpPr>
          <a:spLocks noChangeAspect="1" noChangeArrowheads="1"/>
        </xdr:cNvSpPr>
      </xdr:nvSpPr>
      <xdr:spPr bwMode="auto">
        <a:xfrm>
          <a:off x="13157200" y="105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38</xdr:row>
      <xdr:rowOff>0</xdr:rowOff>
    </xdr:from>
    <xdr:to>
      <xdr:col>12</xdr:col>
      <xdr:colOff>304800</xdr:colOff>
      <xdr:row>38</xdr:row>
      <xdr:rowOff>304800</xdr:rowOff>
    </xdr:to>
    <xdr:sp macro="" textlink="">
      <xdr:nvSpPr>
        <xdr:cNvPr id="2067" name="AutoShape 19" descr="\displaystyle 10(256A+B)}"/>
        <xdr:cNvSpPr>
          <a:spLocks noChangeAspect="1" noChangeArrowheads="1"/>
        </xdr:cNvSpPr>
      </xdr:nvSpPr>
      <xdr:spPr bwMode="auto">
        <a:xfrm>
          <a:off x="13157200" y="108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304800</xdr:colOff>
      <xdr:row>40</xdr:row>
      <xdr:rowOff>304800</xdr:rowOff>
    </xdr:to>
    <xdr:sp macro="" textlink="">
      <xdr:nvSpPr>
        <xdr:cNvPr id="2068" name="AutoShape 20" descr="\displaystyle {\frac {2}{65536}}(256A+B)}"/>
        <xdr:cNvSpPr>
          <a:spLocks noChangeAspect="1" noChangeArrowheads="1"/>
        </xdr:cNvSpPr>
      </xdr:nvSpPr>
      <xdr:spPr bwMode="auto">
        <a:xfrm>
          <a:off x="13157200" y="1164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41</xdr:row>
      <xdr:rowOff>0</xdr:rowOff>
    </xdr:from>
    <xdr:to>
      <xdr:col>12</xdr:col>
      <xdr:colOff>304800</xdr:colOff>
      <xdr:row>41</xdr:row>
      <xdr:rowOff>304800</xdr:rowOff>
    </xdr:to>
    <xdr:sp macro="" textlink="">
      <xdr:nvSpPr>
        <xdr:cNvPr id="2069" name="AutoShape 21" descr="\displaystyle {\frac {8}{65536}}(256C+D)}"/>
        <xdr:cNvSpPr>
          <a:spLocks noChangeAspect="1" noChangeArrowheads="1"/>
        </xdr:cNvSpPr>
      </xdr:nvSpPr>
      <xdr:spPr bwMode="auto">
        <a:xfrm>
          <a:off x="13157200" y="1202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47</xdr:row>
      <xdr:rowOff>0</xdr:rowOff>
    </xdr:from>
    <xdr:to>
      <xdr:col>12</xdr:col>
      <xdr:colOff>304800</xdr:colOff>
      <xdr:row>48</xdr:row>
      <xdr:rowOff>114300</xdr:rowOff>
    </xdr:to>
    <xdr:sp macro="" textlink="">
      <xdr:nvSpPr>
        <xdr:cNvPr id="2070" name="AutoShape 22" descr="\displaystyle {\tfrac {100}{255}}A}"/>
        <xdr:cNvSpPr>
          <a:spLocks noChangeAspect="1" noChangeArrowheads="1"/>
        </xdr:cNvSpPr>
      </xdr:nvSpPr>
      <xdr:spPr bwMode="auto">
        <a:xfrm>
          <a:off x="13157200" y="1431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48</xdr:row>
      <xdr:rowOff>0</xdr:rowOff>
    </xdr:from>
    <xdr:to>
      <xdr:col>12</xdr:col>
      <xdr:colOff>304800</xdr:colOff>
      <xdr:row>49</xdr:row>
      <xdr:rowOff>114300</xdr:rowOff>
    </xdr:to>
    <xdr:sp macro="" textlink="">
      <xdr:nvSpPr>
        <xdr:cNvPr id="2071" name="AutoShape 23" descr="\displaystyle {\tfrac {100}{128}}A-100}"/>
        <xdr:cNvSpPr>
          <a:spLocks noChangeAspect="1" noChangeArrowheads="1"/>
        </xdr:cNvSpPr>
      </xdr:nvSpPr>
      <xdr:spPr bwMode="auto">
        <a:xfrm>
          <a:off x="131572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49</xdr:row>
      <xdr:rowOff>0</xdr:rowOff>
    </xdr:from>
    <xdr:to>
      <xdr:col>12</xdr:col>
      <xdr:colOff>304800</xdr:colOff>
      <xdr:row>50</xdr:row>
      <xdr:rowOff>114300</xdr:rowOff>
    </xdr:to>
    <xdr:sp macro="" textlink="">
      <xdr:nvSpPr>
        <xdr:cNvPr id="2072" name="AutoShape 24" descr="\displaystyle {\tfrac {100}{255}}A}"/>
        <xdr:cNvSpPr>
          <a:spLocks noChangeAspect="1" noChangeArrowheads="1"/>
        </xdr:cNvSpPr>
      </xdr:nvSpPr>
      <xdr:spPr bwMode="auto">
        <a:xfrm>
          <a:off x="13157200" y="1469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50</xdr:row>
      <xdr:rowOff>0</xdr:rowOff>
    </xdr:from>
    <xdr:to>
      <xdr:col>12</xdr:col>
      <xdr:colOff>304800</xdr:colOff>
      <xdr:row>51</xdr:row>
      <xdr:rowOff>114300</xdr:rowOff>
    </xdr:to>
    <xdr:sp macro="" textlink="">
      <xdr:nvSpPr>
        <xdr:cNvPr id="2073" name="AutoShape 25" descr="\displaystyle {\tfrac {100}{255}}A}"/>
        <xdr:cNvSpPr>
          <a:spLocks noChangeAspect="1" noChangeArrowheads="1"/>
        </xdr:cNvSpPr>
      </xdr:nvSpPr>
      <xdr:spPr bwMode="auto">
        <a:xfrm>
          <a:off x="13157200" y="1488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51</xdr:row>
      <xdr:rowOff>0</xdr:rowOff>
    </xdr:from>
    <xdr:to>
      <xdr:col>12</xdr:col>
      <xdr:colOff>304800</xdr:colOff>
      <xdr:row>52</xdr:row>
      <xdr:rowOff>114300</xdr:rowOff>
    </xdr:to>
    <xdr:sp macro="" textlink="">
      <xdr:nvSpPr>
        <xdr:cNvPr id="2074" name="AutoShape 26"/>
        <xdr:cNvSpPr>
          <a:spLocks noChangeAspect="1" noChangeArrowheads="1"/>
        </xdr:cNvSpPr>
      </xdr:nvSpPr>
      <xdr:spPr bwMode="auto">
        <a:xfrm>
          <a:off x="13157200" y="1507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52</xdr:row>
      <xdr:rowOff>0</xdr:rowOff>
    </xdr:from>
    <xdr:to>
      <xdr:col>12</xdr:col>
      <xdr:colOff>304800</xdr:colOff>
      <xdr:row>52</xdr:row>
      <xdr:rowOff>304800</xdr:rowOff>
    </xdr:to>
    <xdr:sp macro="" textlink="">
      <xdr:nvSpPr>
        <xdr:cNvPr id="2075" name="AutoShape 27" descr="\displaystyle 256A+B}"/>
        <xdr:cNvSpPr>
          <a:spLocks noChangeAspect="1" noChangeArrowheads="1"/>
        </xdr:cNvSpPr>
      </xdr:nvSpPr>
      <xdr:spPr bwMode="auto">
        <a:xfrm>
          <a:off x="13157200" y="152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53</xdr:row>
      <xdr:rowOff>0</xdr:rowOff>
    </xdr:from>
    <xdr:to>
      <xdr:col>12</xdr:col>
      <xdr:colOff>304800</xdr:colOff>
      <xdr:row>53</xdr:row>
      <xdr:rowOff>304800</xdr:rowOff>
    </xdr:to>
    <xdr:sp macro="" textlink="">
      <xdr:nvSpPr>
        <xdr:cNvPr id="2076" name="AutoShape 28" descr="\displaystyle {\frac {256A+B}{4}}}"/>
        <xdr:cNvSpPr>
          <a:spLocks noChangeAspect="1" noChangeArrowheads="1"/>
        </xdr:cNvSpPr>
      </xdr:nvSpPr>
      <xdr:spPr bwMode="auto">
        <a:xfrm>
          <a:off x="13157200" y="1564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54</xdr:row>
      <xdr:rowOff>0</xdr:rowOff>
    </xdr:from>
    <xdr:to>
      <xdr:col>12</xdr:col>
      <xdr:colOff>304800</xdr:colOff>
      <xdr:row>55</xdr:row>
      <xdr:rowOff>114300</xdr:rowOff>
    </xdr:to>
    <xdr:sp macro="" textlink="">
      <xdr:nvSpPr>
        <xdr:cNvPr id="2077" name="AutoShape 29"/>
        <xdr:cNvSpPr>
          <a:spLocks noChangeAspect="1" noChangeArrowheads="1"/>
        </xdr:cNvSpPr>
      </xdr:nvSpPr>
      <xdr:spPr bwMode="auto">
        <a:xfrm>
          <a:off x="13157200" y="1602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56</xdr:row>
      <xdr:rowOff>0</xdr:rowOff>
    </xdr:from>
    <xdr:to>
      <xdr:col>12</xdr:col>
      <xdr:colOff>304800</xdr:colOff>
      <xdr:row>56</xdr:row>
      <xdr:rowOff>304800</xdr:rowOff>
    </xdr:to>
    <xdr:sp macro="" textlink="">
      <xdr:nvSpPr>
        <xdr:cNvPr id="2078" name="AutoShape 30" descr="\displaystyle {\frac {2}{65536}}(256A+B)}"/>
        <xdr:cNvSpPr>
          <a:spLocks noChangeAspect="1" noChangeArrowheads="1"/>
        </xdr:cNvSpPr>
      </xdr:nvSpPr>
      <xdr:spPr bwMode="auto">
        <a:xfrm>
          <a:off x="13157200" y="1659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57</xdr:row>
      <xdr:rowOff>0</xdr:rowOff>
    </xdr:from>
    <xdr:to>
      <xdr:col>12</xdr:col>
      <xdr:colOff>304800</xdr:colOff>
      <xdr:row>57</xdr:row>
      <xdr:rowOff>304800</xdr:rowOff>
    </xdr:to>
    <xdr:sp macro="" textlink="">
      <xdr:nvSpPr>
        <xdr:cNvPr id="2079" name="AutoShape 31" descr="\displaystyle {\frac {256C+D}{256}}-128}"/>
        <xdr:cNvSpPr>
          <a:spLocks noChangeAspect="1" noChangeArrowheads="1"/>
        </xdr:cNvSpPr>
      </xdr:nvSpPr>
      <xdr:spPr bwMode="auto">
        <a:xfrm>
          <a:off x="13157200" y="1717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58</xdr:row>
      <xdr:rowOff>0</xdr:rowOff>
    </xdr:from>
    <xdr:to>
      <xdr:col>12</xdr:col>
      <xdr:colOff>304800</xdr:colOff>
      <xdr:row>58</xdr:row>
      <xdr:rowOff>304800</xdr:rowOff>
    </xdr:to>
    <xdr:sp macro="" textlink="">
      <xdr:nvSpPr>
        <xdr:cNvPr id="2080" name="AutoShape 32" descr="\displaystyle C+{\frac {D}{256}}-128}"/>
        <xdr:cNvSpPr>
          <a:spLocks noChangeAspect="1" noChangeArrowheads="1"/>
        </xdr:cNvSpPr>
      </xdr:nvSpPr>
      <xdr:spPr bwMode="auto">
        <a:xfrm>
          <a:off x="13157200" y="175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63</xdr:row>
      <xdr:rowOff>0</xdr:rowOff>
    </xdr:from>
    <xdr:to>
      <xdr:col>12</xdr:col>
      <xdr:colOff>304800</xdr:colOff>
      <xdr:row>63</xdr:row>
      <xdr:rowOff>304800</xdr:rowOff>
    </xdr:to>
    <xdr:sp macro="" textlink="">
      <xdr:nvSpPr>
        <xdr:cNvPr id="2081" name="AutoShape 33" descr="\displaystyle {\frac {256A+B}{10}}-40}"/>
        <xdr:cNvSpPr>
          <a:spLocks noChangeAspect="1" noChangeArrowheads="1"/>
        </xdr:cNvSpPr>
      </xdr:nvSpPr>
      <xdr:spPr bwMode="auto">
        <a:xfrm>
          <a:off x="13157200" y="1945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69</xdr:row>
      <xdr:rowOff>0</xdr:rowOff>
    </xdr:from>
    <xdr:to>
      <xdr:col>12</xdr:col>
      <xdr:colOff>304800</xdr:colOff>
      <xdr:row>70</xdr:row>
      <xdr:rowOff>114300</xdr:rowOff>
    </xdr:to>
    <xdr:sp macro="" textlink="">
      <xdr:nvSpPr>
        <xdr:cNvPr id="2082" name="AutoShape 34" descr="\displaystyle {\frac {256A+B}{1000}}}"/>
        <xdr:cNvSpPr>
          <a:spLocks noChangeAspect="1" noChangeArrowheads="1"/>
        </xdr:cNvSpPr>
      </xdr:nvSpPr>
      <xdr:spPr bwMode="auto">
        <a:xfrm>
          <a:off x="1315720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70</xdr:row>
      <xdr:rowOff>0</xdr:rowOff>
    </xdr:from>
    <xdr:to>
      <xdr:col>12</xdr:col>
      <xdr:colOff>304800</xdr:colOff>
      <xdr:row>70</xdr:row>
      <xdr:rowOff>304800</xdr:rowOff>
    </xdr:to>
    <xdr:sp macro="" textlink="">
      <xdr:nvSpPr>
        <xdr:cNvPr id="2083" name="AutoShape 35" descr="\displaystyle {\tfrac {100}{255}}(256A+B)}"/>
        <xdr:cNvSpPr>
          <a:spLocks noChangeAspect="1" noChangeArrowheads="1"/>
        </xdr:cNvSpPr>
      </xdr:nvSpPr>
      <xdr:spPr bwMode="auto">
        <a:xfrm>
          <a:off x="13157200" y="2156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71</xdr:row>
      <xdr:rowOff>0</xdr:rowOff>
    </xdr:from>
    <xdr:to>
      <xdr:col>12</xdr:col>
      <xdr:colOff>304800</xdr:colOff>
      <xdr:row>71</xdr:row>
      <xdr:rowOff>304800</xdr:rowOff>
    </xdr:to>
    <xdr:sp macro="" textlink="">
      <xdr:nvSpPr>
        <xdr:cNvPr id="2084" name="AutoShape 36" descr="\displaystyle {\tfrac {2}{65536}}(256A+B)}"/>
        <xdr:cNvSpPr>
          <a:spLocks noChangeAspect="1" noChangeArrowheads="1"/>
        </xdr:cNvSpPr>
      </xdr:nvSpPr>
      <xdr:spPr bwMode="auto">
        <a:xfrm>
          <a:off x="13157200" y="2194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72</xdr:row>
      <xdr:rowOff>0</xdr:rowOff>
    </xdr:from>
    <xdr:to>
      <xdr:col>12</xdr:col>
      <xdr:colOff>304800</xdr:colOff>
      <xdr:row>73</xdr:row>
      <xdr:rowOff>114300</xdr:rowOff>
    </xdr:to>
    <xdr:sp macro="" textlink="">
      <xdr:nvSpPr>
        <xdr:cNvPr id="2085" name="AutoShape 37" descr="\displaystyle {\tfrac {100}{255}}A}"/>
        <xdr:cNvSpPr>
          <a:spLocks noChangeAspect="1" noChangeArrowheads="1"/>
        </xdr:cNvSpPr>
      </xdr:nvSpPr>
      <xdr:spPr bwMode="auto">
        <a:xfrm>
          <a:off x="13157200" y="2232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73</xdr:row>
      <xdr:rowOff>0</xdr:rowOff>
    </xdr:from>
    <xdr:to>
      <xdr:col>12</xdr:col>
      <xdr:colOff>304800</xdr:colOff>
      <xdr:row>74</xdr:row>
      <xdr:rowOff>114300</xdr:rowOff>
    </xdr:to>
    <xdr:sp macro="" textlink="">
      <xdr:nvSpPr>
        <xdr:cNvPr id="2086" name="AutoShape 38" descr="\displaystyle A-40}"/>
        <xdr:cNvSpPr>
          <a:spLocks noChangeAspect="1" noChangeArrowheads="1"/>
        </xdr:cNvSpPr>
      </xdr:nvSpPr>
      <xdr:spPr bwMode="auto">
        <a:xfrm>
          <a:off x="13157200" y="2251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74</xdr:row>
      <xdr:rowOff>0</xdr:rowOff>
    </xdr:from>
    <xdr:to>
      <xdr:col>12</xdr:col>
      <xdr:colOff>304800</xdr:colOff>
      <xdr:row>75</xdr:row>
      <xdr:rowOff>114300</xdr:rowOff>
    </xdr:to>
    <xdr:sp macro="" textlink="">
      <xdr:nvSpPr>
        <xdr:cNvPr id="2087" name="AutoShape 39" descr="\displaystyle {\frac {100}{255}}A}"/>
        <xdr:cNvSpPr>
          <a:spLocks noChangeAspect="1" noChangeArrowheads="1"/>
        </xdr:cNvSpPr>
      </xdr:nvSpPr>
      <xdr:spPr bwMode="auto">
        <a:xfrm>
          <a:off x="13157200" y="2270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80</xdr:row>
      <xdr:rowOff>0</xdr:rowOff>
    </xdr:from>
    <xdr:to>
      <xdr:col>12</xdr:col>
      <xdr:colOff>304800</xdr:colOff>
      <xdr:row>81</xdr:row>
      <xdr:rowOff>114300</xdr:rowOff>
    </xdr:to>
    <xdr:sp macro="" textlink="">
      <xdr:nvSpPr>
        <xdr:cNvPr id="2088" name="AutoShape 40" descr="\displaystyle 256A+B}"/>
        <xdr:cNvSpPr>
          <a:spLocks noChangeAspect="1" noChangeArrowheads="1"/>
        </xdr:cNvSpPr>
      </xdr:nvSpPr>
      <xdr:spPr bwMode="auto">
        <a:xfrm>
          <a:off x="13157200" y="2385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85</xdr:row>
      <xdr:rowOff>0</xdr:rowOff>
    </xdr:from>
    <xdr:to>
      <xdr:col>12</xdr:col>
      <xdr:colOff>304800</xdr:colOff>
      <xdr:row>86</xdr:row>
      <xdr:rowOff>114300</xdr:rowOff>
    </xdr:to>
    <xdr:sp macro="" textlink="">
      <xdr:nvSpPr>
        <xdr:cNvPr id="2089" name="AutoShape 41" descr="\displaystyle {\tfrac {100}{255}}A}"/>
        <xdr:cNvSpPr>
          <a:spLocks noChangeAspect="1" noChangeArrowheads="1"/>
        </xdr:cNvSpPr>
      </xdr:nvSpPr>
      <xdr:spPr bwMode="auto">
        <a:xfrm>
          <a:off x="13157200" y="257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86</xdr:row>
      <xdr:rowOff>0</xdr:rowOff>
    </xdr:from>
    <xdr:to>
      <xdr:col>12</xdr:col>
      <xdr:colOff>304800</xdr:colOff>
      <xdr:row>86</xdr:row>
      <xdr:rowOff>304800</xdr:rowOff>
    </xdr:to>
    <xdr:sp macro="" textlink="">
      <xdr:nvSpPr>
        <xdr:cNvPr id="2090" name="AutoShape 42" descr="\displaystyle {\frac {256A+B}{200}}}"/>
        <xdr:cNvSpPr>
          <a:spLocks noChangeAspect="1" noChangeArrowheads="1"/>
        </xdr:cNvSpPr>
      </xdr:nvSpPr>
      <xdr:spPr bwMode="auto">
        <a:xfrm>
          <a:off x="13157200" y="2594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88</xdr:row>
      <xdr:rowOff>0</xdr:rowOff>
    </xdr:from>
    <xdr:to>
      <xdr:col>12</xdr:col>
      <xdr:colOff>304800</xdr:colOff>
      <xdr:row>88</xdr:row>
      <xdr:rowOff>304800</xdr:rowOff>
    </xdr:to>
    <xdr:sp macro="" textlink="">
      <xdr:nvSpPr>
        <xdr:cNvPr id="2091" name="AutoShape 43" descr="\displaystyle {\frac {100}{128}}A-100}"/>
        <xdr:cNvSpPr>
          <a:spLocks noChangeAspect="1" noChangeArrowheads="1"/>
        </xdr:cNvSpPr>
      </xdr:nvSpPr>
      <xdr:spPr bwMode="auto">
        <a:xfrm>
          <a:off x="13157200" y="2651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91</xdr:row>
      <xdr:rowOff>0</xdr:rowOff>
    </xdr:from>
    <xdr:to>
      <xdr:col>12</xdr:col>
      <xdr:colOff>304800</xdr:colOff>
      <xdr:row>91</xdr:row>
      <xdr:rowOff>304800</xdr:rowOff>
    </xdr:to>
    <xdr:sp macro="" textlink="">
      <xdr:nvSpPr>
        <xdr:cNvPr id="2092" name="AutoShape 44" descr="\displaystyle {\frac {100}{128}}B-100}"/>
        <xdr:cNvSpPr>
          <a:spLocks noChangeAspect="1" noChangeArrowheads="1"/>
        </xdr:cNvSpPr>
      </xdr:nvSpPr>
      <xdr:spPr bwMode="auto">
        <a:xfrm>
          <a:off x="13157200" y="2766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92</xdr:row>
      <xdr:rowOff>0</xdr:rowOff>
    </xdr:from>
    <xdr:to>
      <xdr:col>12</xdr:col>
      <xdr:colOff>304800</xdr:colOff>
      <xdr:row>93</xdr:row>
      <xdr:rowOff>114300</xdr:rowOff>
    </xdr:to>
    <xdr:sp macro="" textlink="">
      <xdr:nvSpPr>
        <xdr:cNvPr id="2093" name="AutoShape 45" descr="\displaystyle 10(256A+B)}"/>
        <xdr:cNvSpPr>
          <a:spLocks noChangeAspect="1" noChangeArrowheads="1"/>
        </xdr:cNvSpPr>
      </xdr:nvSpPr>
      <xdr:spPr bwMode="auto">
        <a:xfrm>
          <a:off x="13157200" y="280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93</xdr:row>
      <xdr:rowOff>0</xdr:rowOff>
    </xdr:from>
    <xdr:to>
      <xdr:col>12</xdr:col>
      <xdr:colOff>304800</xdr:colOff>
      <xdr:row>94</xdr:row>
      <xdr:rowOff>114300</xdr:rowOff>
    </xdr:to>
    <xdr:sp macro="" textlink="">
      <xdr:nvSpPr>
        <xdr:cNvPr id="2094" name="AutoShape 46" descr="\displaystyle {\tfrac {100}{255}}A}"/>
        <xdr:cNvSpPr>
          <a:spLocks noChangeAspect="1" noChangeArrowheads="1"/>
        </xdr:cNvSpPr>
      </xdr:nvSpPr>
      <xdr:spPr bwMode="auto">
        <a:xfrm>
          <a:off x="13157200" y="282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94</xdr:row>
      <xdr:rowOff>0</xdr:rowOff>
    </xdr:from>
    <xdr:to>
      <xdr:col>12</xdr:col>
      <xdr:colOff>304800</xdr:colOff>
      <xdr:row>95</xdr:row>
      <xdr:rowOff>114300</xdr:rowOff>
    </xdr:to>
    <xdr:sp macro="" textlink="">
      <xdr:nvSpPr>
        <xdr:cNvPr id="2095" name="AutoShape 47" descr="\displaystyle {\tfrac {100}{255}}A}"/>
        <xdr:cNvSpPr>
          <a:spLocks noChangeAspect="1" noChangeArrowheads="1"/>
        </xdr:cNvSpPr>
      </xdr:nvSpPr>
      <xdr:spPr bwMode="auto">
        <a:xfrm>
          <a:off x="131572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95</xdr:row>
      <xdr:rowOff>0</xdr:rowOff>
    </xdr:from>
    <xdr:to>
      <xdr:col>12</xdr:col>
      <xdr:colOff>304800</xdr:colOff>
      <xdr:row>96</xdr:row>
      <xdr:rowOff>114300</xdr:rowOff>
    </xdr:to>
    <xdr:sp macro="" textlink="">
      <xdr:nvSpPr>
        <xdr:cNvPr id="2096" name="AutoShape 48" descr="\displaystyle A-40}"/>
        <xdr:cNvSpPr>
          <a:spLocks noChangeAspect="1" noChangeArrowheads="1"/>
        </xdr:cNvSpPr>
      </xdr:nvSpPr>
      <xdr:spPr bwMode="auto">
        <a:xfrm>
          <a:off x="13157200" y="2861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96</xdr:row>
      <xdr:rowOff>0</xdr:rowOff>
    </xdr:from>
    <xdr:to>
      <xdr:col>12</xdr:col>
      <xdr:colOff>304800</xdr:colOff>
      <xdr:row>96</xdr:row>
      <xdr:rowOff>304800</xdr:rowOff>
    </xdr:to>
    <xdr:sp macro="" textlink="">
      <xdr:nvSpPr>
        <xdr:cNvPr id="2097" name="AutoShape 49" descr="\displaystyle {\frac {256A+B}{128}}-210}"/>
        <xdr:cNvSpPr>
          <a:spLocks noChangeAspect="1" noChangeArrowheads="1"/>
        </xdr:cNvSpPr>
      </xdr:nvSpPr>
      <xdr:spPr bwMode="auto">
        <a:xfrm>
          <a:off x="13157200" y="2880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97</xdr:row>
      <xdr:rowOff>0</xdr:rowOff>
    </xdr:from>
    <xdr:to>
      <xdr:col>12</xdr:col>
      <xdr:colOff>304800</xdr:colOff>
      <xdr:row>98</xdr:row>
      <xdr:rowOff>114300</xdr:rowOff>
    </xdr:to>
    <xdr:sp macro="" textlink="">
      <xdr:nvSpPr>
        <xdr:cNvPr id="2098" name="AutoShape 50" descr="\displaystyle {\frac {256A+B}{20}}}"/>
        <xdr:cNvSpPr>
          <a:spLocks noChangeAspect="1" noChangeArrowheads="1"/>
        </xdr:cNvSpPr>
      </xdr:nvSpPr>
      <xdr:spPr bwMode="auto">
        <a:xfrm>
          <a:off x="13157200" y="2918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12</xdr:col>
      <xdr:colOff>0</xdr:colOff>
      <xdr:row>102</xdr:row>
      <xdr:rowOff>0</xdr:rowOff>
    </xdr:from>
    <xdr:to>
      <xdr:col>12</xdr:col>
      <xdr:colOff>304800</xdr:colOff>
      <xdr:row>103</xdr:row>
      <xdr:rowOff>114300</xdr:rowOff>
    </xdr:to>
    <xdr:sp macro="" textlink="">
      <xdr:nvSpPr>
        <xdr:cNvPr id="2099" name="AutoShape 51" descr="\displaystyle 256A+B}"/>
        <xdr:cNvSpPr>
          <a:spLocks noChangeAspect="1" noChangeArrowheads="1"/>
        </xdr:cNvSpPr>
      </xdr:nvSpPr>
      <xdr:spPr bwMode="auto">
        <a:xfrm>
          <a:off x="13157200" y="3053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114300</xdr:rowOff>
    </xdr:to>
    <xdr:sp macro="" textlink="">
      <xdr:nvSpPr>
        <xdr:cNvPr id="2100" name="AutoShape 52"/>
        <xdr:cNvSpPr>
          <a:spLocks noChangeAspect="1" noChangeArrowheads="1"/>
        </xdr:cNvSpPr>
      </xdr:nvSpPr>
      <xdr:spPr bwMode="auto">
        <a:xfrm>
          <a:off x="33655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hyperlink" Target="https://en.wikipedia.org/wiki/Power_Take_Off" TargetMode="External"/><Relationship Id="rId20" Type="http://schemas.openxmlformats.org/officeDocument/2006/relationships/hyperlink" Target="https://en.wikipedia.org/wiki/OBD-II_PIDs" TargetMode="External"/><Relationship Id="rId21" Type="http://schemas.openxmlformats.org/officeDocument/2006/relationships/hyperlink" Target="https://en.wikipedia.org/wiki/OBD-II_PIDs" TargetMode="External"/><Relationship Id="rId22" Type="http://schemas.openxmlformats.org/officeDocument/2006/relationships/hyperlink" Target="https://en.wikipedia.org/wiki/OBD-II_PIDs" TargetMode="External"/><Relationship Id="rId23" Type="http://schemas.openxmlformats.org/officeDocument/2006/relationships/hyperlink" Target="https://en.wikipedia.org/wiki/OBD-II_PIDs" TargetMode="External"/><Relationship Id="rId24" Type="http://schemas.openxmlformats.org/officeDocument/2006/relationships/hyperlink" Target="https://en.wikipedia.org/wiki/OBD-II_PIDs" TargetMode="External"/><Relationship Id="rId25" Type="http://schemas.openxmlformats.org/officeDocument/2006/relationships/drawing" Target="../drawings/drawing2.xml"/><Relationship Id="rId10" Type="http://schemas.openxmlformats.org/officeDocument/2006/relationships/hyperlink" Target="https://en.wikipedia.org/wiki/OBD-II_PIDs" TargetMode="External"/><Relationship Id="rId11" Type="http://schemas.openxmlformats.org/officeDocument/2006/relationships/hyperlink" Target="https://en.wikipedia.org/wiki/Fuel_rail" TargetMode="External"/><Relationship Id="rId12" Type="http://schemas.openxmlformats.org/officeDocument/2006/relationships/hyperlink" Target="https://en.wikipedia.org/wiki/Fuel_rail" TargetMode="External"/><Relationship Id="rId13" Type="http://schemas.openxmlformats.org/officeDocument/2006/relationships/hyperlink" Target="https://en.wikipedia.org/wiki/Exhaust_gas_recirculation" TargetMode="External"/><Relationship Id="rId14" Type="http://schemas.openxmlformats.org/officeDocument/2006/relationships/hyperlink" Target="https://en.wikipedia.org/wiki/OBD-II_PIDs" TargetMode="External"/><Relationship Id="rId15" Type="http://schemas.openxmlformats.org/officeDocument/2006/relationships/hyperlink" Target="https://en.wikipedia.org/wiki/OBD-II_PIDs" TargetMode="External"/><Relationship Id="rId16" Type="http://schemas.openxmlformats.org/officeDocument/2006/relationships/hyperlink" Target="https://en.wikipedia.org/wiki/OBD-II_PIDs" TargetMode="External"/><Relationship Id="rId17" Type="http://schemas.openxmlformats.org/officeDocument/2006/relationships/hyperlink" Target="https://en.wikipedia.org/wiki/Fuel_rail" TargetMode="External"/><Relationship Id="rId18" Type="http://schemas.openxmlformats.org/officeDocument/2006/relationships/hyperlink" Target="https://en.wikipedia.org/wiki/OBD-II_PIDs" TargetMode="External"/><Relationship Id="rId19" Type="http://schemas.openxmlformats.org/officeDocument/2006/relationships/hyperlink" Target="https://en.wikipedia.org/wiki/OBD-II_PIDs" TargetMode="External"/><Relationship Id="rId1" Type="http://schemas.openxmlformats.org/officeDocument/2006/relationships/hyperlink" Target="https://en.wikipedia.org/wiki/OBD-II_PIDs" TargetMode="External"/><Relationship Id="rId2" Type="http://schemas.openxmlformats.org/officeDocument/2006/relationships/hyperlink" Target="https://en.wikipedia.org/wiki/OBD-II_PIDs" TargetMode="External"/><Relationship Id="rId3" Type="http://schemas.openxmlformats.org/officeDocument/2006/relationships/hyperlink" Target="https://en.wikipedia.org/wiki/OBD-II_PIDs" TargetMode="External"/><Relationship Id="rId4" Type="http://schemas.openxmlformats.org/officeDocument/2006/relationships/hyperlink" Target="https://en.wikipedia.org/wiki/OBD-II_PIDs" TargetMode="External"/><Relationship Id="rId5" Type="http://schemas.openxmlformats.org/officeDocument/2006/relationships/hyperlink" Target="https://en.wikipedia.org/wiki/Pressure_measurement" TargetMode="External"/><Relationship Id="rId6" Type="http://schemas.openxmlformats.org/officeDocument/2006/relationships/hyperlink" Target="https://en.wikipedia.org/wiki/Dead_centre_%28engineering%29" TargetMode="External"/><Relationship Id="rId7" Type="http://schemas.openxmlformats.org/officeDocument/2006/relationships/hyperlink" Target="https://en.wikipedia.org/wiki/OBD-II_PIDs" TargetMode="External"/><Relationship Id="rId8" Type="http://schemas.openxmlformats.org/officeDocument/2006/relationships/hyperlink" Target="https://en.wikipedia.org/wiki/OBD-II_PID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205"/>
  <sheetViews>
    <sheetView workbookViewId="0">
      <pane ySplit="2" topLeftCell="A67" activePane="bottomLeft" state="frozenSplit"/>
      <selection activeCell="C29" sqref="C29:C36"/>
      <selection pane="bottomLeft" activeCell="I78" sqref="I78"/>
    </sheetView>
  </sheetViews>
  <sheetFormatPr baseColWidth="10" defaultColWidth="29.5" defaultRowHeight="15" x14ac:dyDescent="0"/>
  <cols>
    <col min="1" max="1" width="6.6640625" style="40" bestFit="1" customWidth="1"/>
    <col min="2" max="3" width="9" style="57" bestFit="1" customWidth="1"/>
    <col min="4" max="4" width="9.83203125" style="57" bestFit="1" customWidth="1"/>
    <col min="5" max="5" width="4.1640625" style="40" bestFit="1" customWidth="1"/>
    <col min="6" max="6" width="5.5" style="57" bestFit="1" customWidth="1"/>
    <col min="7" max="7" width="7.33203125" style="57" bestFit="1" customWidth="1"/>
    <col min="8" max="8" width="18" style="57" bestFit="1" customWidth="1"/>
    <col min="9" max="9" width="73.83203125" style="40" bestFit="1" customWidth="1"/>
    <col min="10" max="11" width="29.5" style="40"/>
    <col min="12" max="12" width="14.6640625" style="41" bestFit="1" customWidth="1"/>
    <col min="13" max="13" width="49.6640625" style="40" customWidth="1"/>
    <col min="14" max="16384" width="29.5" style="40"/>
  </cols>
  <sheetData>
    <row r="1" spans="1:13">
      <c r="A1" s="41" t="s">
        <v>254</v>
      </c>
      <c r="B1" s="57" t="s">
        <v>251</v>
      </c>
      <c r="C1" s="57" t="s">
        <v>251</v>
      </c>
      <c r="D1" s="57" t="s">
        <v>249</v>
      </c>
      <c r="E1" s="40" t="s">
        <v>248</v>
      </c>
      <c r="F1" s="85" t="s">
        <v>0</v>
      </c>
      <c r="G1" s="85" t="s">
        <v>0</v>
      </c>
      <c r="H1" s="120" t="s">
        <v>2</v>
      </c>
      <c r="I1" s="120" t="s">
        <v>3</v>
      </c>
      <c r="J1" s="100"/>
      <c r="K1" s="100"/>
      <c r="L1" s="100"/>
      <c r="M1" s="101"/>
    </row>
    <row r="2" spans="1:13">
      <c r="A2" s="41" t="s">
        <v>253</v>
      </c>
      <c r="B2" s="57" t="s">
        <v>1</v>
      </c>
      <c r="C2" s="57" t="s">
        <v>243</v>
      </c>
      <c r="D2" s="57" t="s">
        <v>250</v>
      </c>
      <c r="F2" s="85" t="s">
        <v>1</v>
      </c>
      <c r="G2" s="85" t="s">
        <v>243</v>
      </c>
      <c r="H2" s="120"/>
      <c r="I2" s="120"/>
      <c r="J2" s="100"/>
      <c r="K2" s="100"/>
      <c r="L2" s="100"/>
      <c r="M2" s="101"/>
    </row>
    <row r="3" spans="1:13" ht="16" thickBot="1">
      <c r="D3" s="57">
        <v>0</v>
      </c>
      <c r="F3" s="67">
        <v>0</v>
      </c>
      <c r="G3" s="67">
        <f t="shared" ref="G3:G9" si="0">HEX2DEC(F3)</f>
        <v>0</v>
      </c>
      <c r="H3" s="57">
        <v>4</v>
      </c>
      <c r="I3" t="s">
        <v>1459</v>
      </c>
      <c r="J3" s="70"/>
      <c r="K3" s="70"/>
      <c r="L3" s="68"/>
      <c r="M3" s="86"/>
    </row>
    <row r="4" spans="1:13">
      <c r="A4" s="117" t="s">
        <v>244</v>
      </c>
      <c r="B4" s="109" t="str">
        <f>DEC2HEX(C4)</f>
        <v>C0</v>
      </c>
      <c r="C4" s="110">
        <f>SUMIF(D4:D12,1,E4:E12)</f>
        <v>192</v>
      </c>
      <c r="D4" s="57">
        <v>1</v>
      </c>
      <c r="E4" s="57">
        <v>128</v>
      </c>
      <c r="F4" s="66">
        <v>1</v>
      </c>
      <c r="G4" s="67">
        <f t="shared" si="0"/>
        <v>1</v>
      </c>
      <c r="H4" s="68">
        <v>1</v>
      </c>
      <c r="I4" t="s">
        <v>1460</v>
      </c>
      <c r="J4" s="70" t="s">
        <v>1461</v>
      </c>
      <c r="K4" s="70"/>
      <c r="L4" s="68"/>
      <c r="M4" s="86"/>
    </row>
    <row r="5" spans="1:13">
      <c r="A5" s="116"/>
      <c r="B5" s="104"/>
      <c r="C5" s="106"/>
      <c r="D5" s="57">
        <v>1</v>
      </c>
      <c r="E5" s="57">
        <v>64</v>
      </c>
      <c r="F5" s="66">
        <v>2</v>
      </c>
      <c r="G5" s="67">
        <f t="shared" si="0"/>
        <v>2</v>
      </c>
      <c r="H5" s="68" t="s">
        <v>1462</v>
      </c>
      <c r="I5" s="69" t="s">
        <v>1463</v>
      </c>
      <c r="J5" t="s">
        <v>1464</v>
      </c>
      <c r="K5" s="70"/>
      <c r="L5" s="68"/>
      <c r="M5" s="69"/>
    </row>
    <row r="6" spans="1:13">
      <c r="A6" s="116"/>
      <c r="B6" s="104"/>
      <c r="C6" s="106"/>
      <c r="D6" s="57">
        <v>0</v>
      </c>
      <c r="E6" s="57">
        <v>32</v>
      </c>
      <c r="F6" s="66">
        <v>3</v>
      </c>
      <c r="G6" s="67">
        <f t="shared" si="0"/>
        <v>3</v>
      </c>
      <c r="H6" s="68">
        <v>1</v>
      </c>
      <c r="I6" t="s">
        <v>1465</v>
      </c>
      <c r="J6" t="s">
        <v>1466</v>
      </c>
      <c r="K6" s="70"/>
      <c r="L6" s="68"/>
      <c r="M6" s="86"/>
    </row>
    <row r="7" spans="1:13">
      <c r="A7" s="116"/>
      <c r="B7" s="104"/>
      <c r="C7" s="106"/>
      <c r="D7" s="57">
        <v>0</v>
      </c>
      <c r="E7" s="57">
        <v>16</v>
      </c>
      <c r="F7" s="66">
        <v>4</v>
      </c>
      <c r="G7" s="67">
        <f t="shared" si="0"/>
        <v>4</v>
      </c>
      <c r="H7" s="68">
        <v>16</v>
      </c>
      <c r="I7" t="s">
        <v>1467</v>
      </c>
      <c r="J7" t="s">
        <v>1468</v>
      </c>
      <c r="K7" s="70"/>
      <c r="L7" s="68"/>
      <c r="M7" s="69"/>
    </row>
    <row r="8" spans="1:13">
      <c r="A8" s="116"/>
      <c r="B8" s="104"/>
      <c r="C8" s="106"/>
      <c r="D8" s="57">
        <v>0</v>
      </c>
      <c r="E8" s="57">
        <v>8</v>
      </c>
      <c r="F8" s="66">
        <v>5</v>
      </c>
      <c r="G8" s="67">
        <f t="shared" si="0"/>
        <v>5</v>
      </c>
      <c r="H8" s="68">
        <v>1</v>
      </c>
      <c r="I8" t="s">
        <v>1469</v>
      </c>
      <c r="J8" s="70"/>
      <c r="K8" s="70"/>
      <c r="L8" s="68"/>
      <c r="M8" s="69"/>
    </row>
    <row r="9" spans="1:13">
      <c r="A9" s="116"/>
      <c r="B9" s="104"/>
      <c r="C9" s="106"/>
      <c r="D9" s="119">
        <v>0</v>
      </c>
      <c r="E9" s="119">
        <v>4</v>
      </c>
      <c r="F9" s="118">
        <v>6</v>
      </c>
      <c r="G9" s="118">
        <f t="shared" si="0"/>
        <v>6</v>
      </c>
      <c r="H9" s="111">
        <v>4</v>
      </c>
      <c r="I9" s="114" t="s">
        <v>1470</v>
      </c>
      <c r="J9" s="112"/>
      <c r="K9" s="112"/>
      <c r="L9" s="111"/>
      <c r="M9" s="69"/>
    </row>
    <row r="10" spans="1:13">
      <c r="A10" s="116"/>
      <c r="B10" s="104"/>
      <c r="C10" s="106"/>
      <c r="D10" s="119"/>
      <c r="E10" s="119"/>
      <c r="F10" s="118"/>
      <c r="G10" s="118"/>
      <c r="H10" s="111"/>
      <c r="I10" s="114"/>
      <c r="J10" s="112"/>
      <c r="K10" s="112"/>
      <c r="L10" s="111"/>
      <c r="M10" s="69"/>
    </row>
    <row r="11" spans="1:13">
      <c r="A11" s="116"/>
      <c r="B11" s="104"/>
      <c r="C11" s="106"/>
      <c r="D11" s="57">
        <v>0</v>
      </c>
      <c r="E11" s="57">
        <v>2</v>
      </c>
      <c r="F11" s="66">
        <v>7</v>
      </c>
      <c r="G11" s="67">
        <f t="shared" ref="G11:G74" si="1">HEX2DEC(F11)</f>
        <v>7</v>
      </c>
      <c r="H11" s="68">
        <v>1</v>
      </c>
      <c r="I11" t="s">
        <v>1471</v>
      </c>
      <c r="J11" s="112"/>
      <c r="K11" s="112"/>
      <c r="L11" s="111"/>
      <c r="M11" s="69"/>
    </row>
    <row r="12" spans="1:13">
      <c r="A12" s="116"/>
      <c r="B12" s="104"/>
      <c r="C12" s="106"/>
      <c r="D12" s="57">
        <v>0</v>
      </c>
      <c r="E12" s="57">
        <v>1</v>
      </c>
      <c r="F12" s="66">
        <v>8</v>
      </c>
      <c r="G12" s="67">
        <f t="shared" si="1"/>
        <v>8</v>
      </c>
      <c r="H12" s="68">
        <v>4</v>
      </c>
      <c r="I12" t="s">
        <v>1472</v>
      </c>
      <c r="J12" s="112"/>
      <c r="K12" s="112"/>
      <c r="L12" s="111"/>
      <c r="M12" s="69"/>
    </row>
    <row r="13" spans="1:13">
      <c r="A13" s="116" t="s">
        <v>245</v>
      </c>
      <c r="B13" s="104" t="str">
        <f>DEC2HEX(C13)</f>
        <v>C0</v>
      </c>
      <c r="C13" s="106">
        <f>SUMIF(D13:D20,1,E13:E20)</f>
        <v>192</v>
      </c>
      <c r="D13" s="57">
        <v>1</v>
      </c>
      <c r="E13" s="57">
        <v>128</v>
      </c>
      <c r="F13" s="66">
        <v>9</v>
      </c>
      <c r="G13" s="67">
        <f t="shared" si="1"/>
        <v>9</v>
      </c>
      <c r="H13" s="68">
        <v>1</v>
      </c>
      <c r="I13" t="s">
        <v>1473</v>
      </c>
      <c r="J13" s="112"/>
      <c r="K13" s="112"/>
      <c r="L13" s="111"/>
      <c r="M13" s="69"/>
    </row>
    <row r="14" spans="1:13">
      <c r="A14" s="116"/>
      <c r="B14" s="104"/>
      <c r="C14" s="106"/>
      <c r="D14" s="57">
        <v>1</v>
      </c>
      <c r="E14" s="57">
        <v>64</v>
      </c>
      <c r="F14" s="66" t="s">
        <v>29</v>
      </c>
      <c r="G14" s="67">
        <f t="shared" si="1"/>
        <v>10</v>
      </c>
      <c r="H14" s="68">
        <v>20</v>
      </c>
      <c r="I14" t="s">
        <v>1474</v>
      </c>
      <c r="J14" t="s">
        <v>1475</v>
      </c>
      <c r="K14" s="70"/>
      <c r="L14" s="68"/>
      <c r="M14" s="69"/>
    </row>
    <row r="15" spans="1:13">
      <c r="A15" s="116"/>
      <c r="B15" s="104"/>
      <c r="C15" s="106"/>
      <c r="D15" s="57">
        <v>0</v>
      </c>
      <c r="E15" s="57">
        <v>32</v>
      </c>
      <c r="F15" s="66" t="s">
        <v>33</v>
      </c>
      <c r="G15" s="67">
        <f t="shared" si="1"/>
        <v>11</v>
      </c>
      <c r="H15" s="68">
        <v>4</v>
      </c>
      <c r="I15" t="s">
        <v>1476</v>
      </c>
      <c r="J15" s="70"/>
      <c r="K15" s="70"/>
      <c r="L15" s="68"/>
      <c r="M15" s="69"/>
    </row>
    <row r="16" spans="1:13">
      <c r="A16" s="116"/>
      <c r="B16" s="104"/>
      <c r="C16" s="106"/>
      <c r="D16" s="57">
        <v>0</v>
      </c>
      <c r="E16" s="57">
        <v>16</v>
      </c>
      <c r="F16" s="66" t="s">
        <v>36</v>
      </c>
      <c r="G16" s="67">
        <f t="shared" si="1"/>
        <v>12</v>
      </c>
      <c r="H16" s="68"/>
      <c r="I16" s="69"/>
      <c r="J16" s="70"/>
      <c r="K16" s="92"/>
      <c r="L16" s="68"/>
      <c r="M16" s="69"/>
    </row>
    <row r="17" spans="1:13">
      <c r="A17" s="116"/>
      <c r="B17" s="104"/>
      <c r="C17" s="106"/>
      <c r="D17" s="57">
        <v>0</v>
      </c>
      <c r="E17" s="57">
        <v>8</v>
      </c>
      <c r="F17" s="66" t="s">
        <v>40</v>
      </c>
      <c r="G17" s="67">
        <f t="shared" si="1"/>
        <v>13</v>
      </c>
      <c r="H17" s="68"/>
      <c r="I17" s="69"/>
      <c r="J17" s="70"/>
      <c r="K17" s="70"/>
      <c r="L17" s="68"/>
    </row>
    <row r="18" spans="1:13">
      <c r="A18" s="116"/>
      <c r="B18" s="104"/>
      <c r="C18" s="106"/>
      <c r="D18" s="57">
        <v>0</v>
      </c>
      <c r="E18" s="57">
        <v>4</v>
      </c>
      <c r="F18" s="66" t="s">
        <v>43</v>
      </c>
      <c r="G18" s="67">
        <f t="shared" si="1"/>
        <v>14</v>
      </c>
      <c r="H18" s="68"/>
      <c r="I18" s="69"/>
      <c r="J18" s="70"/>
      <c r="K18" s="70"/>
      <c r="L18" s="93"/>
      <c r="M18" s="69"/>
    </row>
    <row r="19" spans="1:13">
      <c r="A19" s="116"/>
      <c r="B19" s="104"/>
      <c r="C19" s="106"/>
      <c r="D19" s="57">
        <v>0</v>
      </c>
      <c r="E19" s="57">
        <v>2</v>
      </c>
      <c r="F19" s="66" t="s">
        <v>47</v>
      </c>
      <c r="G19" s="67">
        <f t="shared" si="1"/>
        <v>15</v>
      </c>
      <c r="H19" s="68"/>
      <c r="I19" s="69"/>
      <c r="J19" s="70"/>
      <c r="K19" s="70"/>
      <c r="L19" s="68"/>
      <c r="M19" s="69"/>
    </row>
    <row r="20" spans="1:13">
      <c r="A20" s="116"/>
      <c r="B20" s="104"/>
      <c r="C20" s="106"/>
      <c r="D20" s="57">
        <v>0</v>
      </c>
      <c r="E20" s="57">
        <v>1</v>
      </c>
      <c r="F20" s="66">
        <v>10</v>
      </c>
      <c r="G20" s="67">
        <f t="shared" si="1"/>
        <v>16</v>
      </c>
      <c r="H20" s="68"/>
      <c r="I20" s="69"/>
      <c r="J20" s="70"/>
      <c r="K20" s="70"/>
      <c r="L20" s="68"/>
      <c r="M20" s="69"/>
    </row>
    <row r="21" spans="1:13">
      <c r="A21" s="116" t="s">
        <v>246</v>
      </c>
      <c r="B21" s="104" t="str">
        <f>DEC2HEX(C21)</f>
        <v>0</v>
      </c>
      <c r="C21" s="106">
        <f>SUMIF(D21:D28,1,E21:E28)</f>
        <v>0</v>
      </c>
      <c r="D21" s="57">
        <v>0</v>
      </c>
      <c r="E21" s="57">
        <v>128</v>
      </c>
      <c r="F21" s="66">
        <v>11</v>
      </c>
      <c r="G21" s="67">
        <f t="shared" si="1"/>
        <v>17</v>
      </c>
      <c r="H21" s="68"/>
      <c r="I21" s="69"/>
      <c r="J21" s="70"/>
      <c r="K21" s="70"/>
      <c r="L21" s="68"/>
      <c r="M21" s="69"/>
    </row>
    <row r="22" spans="1:13">
      <c r="A22" s="116"/>
      <c r="B22" s="104"/>
      <c r="C22" s="106"/>
      <c r="D22" s="57">
        <v>0</v>
      </c>
      <c r="E22" s="57">
        <v>64</v>
      </c>
      <c r="F22" s="66">
        <v>12</v>
      </c>
      <c r="G22" s="67">
        <f t="shared" si="1"/>
        <v>18</v>
      </c>
      <c r="H22" s="68"/>
      <c r="I22" s="69"/>
      <c r="J22" s="70"/>
      <c r="K22" s="70"/>
      <c r="L22" s="68"/>
      <c r="M22" s="86"/>
    </row>
    <row r="23" spans="1:13">
      <c r="A23" s="116"/>
      <c r="B23" s="104"/>
      <c r="C23" s="106"/>
      <c r="D23" s="57">
        <v>0</v>
      </c>
      <c r="E23" s="57">
        <v>32</v>
      </c>
      <c r="F23" s="66">
        <v>13</v>
      </c>
      <c r="G23" s="67">
        <f t="shared" si="1"/>
        <v>19</v>
      </c>
      <c r="H23" s="68"/>
      <c r="I23" s="69"/>
      <c r="J23" s="70"/>
      <c r="K23" s="70"/>
      <c r="L23" s="68"/>
      <c r="M23" s="69"/>
    </row>
    <row r="24" spans="1:13">
      <c r="A24" s="116"/>
      <c r="B24" s="104"/>
      <c r="C24" s="106"/>
      <c r="D24" s="57">
        <v>0</v>
      </c>
      <c r="E24" s="94">
        <v>16</v>
      </c>
      <c r="F24" s="95">
        <v>14</v>
      </c>
      <c r="G24" s="95">
        <f t="shared" si="1"/>
        <v>20</v>
      </c>
      <c r="H24" s="70"/>
      <c r="I24" s="69"/>
      <c r="J24" s="70"/>
      <c r="K24" s="96"/>
      <c r="L24" s="68"/>
      <c r="M24" s="69"/>
    </row>
    <row r="25" spans="1:13">
      <c r="A25" s="116"/>
      <c r="B25" s="104"/>
      <c r="C25" s="106"/>
      <c r="D25" s="57">
        <v>0</v>
      </c>
      <c r="E25" s="57">
        <v>8</v>
      </c>
      <c r="F25" s="66">
        <v>15</v>
      </c>
      <c r="G25" s="66">
        <f t="shared" si="1"/>
        <v>21</v>
      </c>
      <c r="H25" s="68"/>
      <c r="I25" s="69"/>
      <c r="J25" s="70"/>
      <c r="K25" s="96"/>
      <c r="L25" s="68"/>
      <c r="M25" s="69"/>
    </row>
    <row r="26" spans="1:13">
      <c r="A26" s="116"/>
      <c r="B26" s="104"/>
      <c r="C26" s="106"/>
      <c r="D26" s="57">
        <v>0</v>
      </c>
      <c r="E26" s="57">
        <v>4</v>
      </c>
      <c r="F26" s="66">
        <v>16</v>
      </c>
      <c r="G26" s="66">
        <f t="shared" si="1"/>
        <v>22</v>
      </c>
      <c r="H26" s="68"/>
      <c r="I26" s="69"/>
      <c r="J26" s="70"/>
      <c r="K26" s="70"/>
      <c r="L26" s="68"/>
      <c r="M26" s="69"/>
    </row>
    <row r="27" spans="1:13">
      <c r="A27" s="116"/>
      <c r="B27" s="104"/>
      <c r="C27" s="106"/>
      <c r="D27" s="57">
        <v>0</v>
      </c>
      <c r="E27" s="57">
        <v>2</v>
      </c>
      <c r="F27" s="66">
        <v>17</v>
      </c>
      <c r="G27" s="66">
        <f t="shared" si="1"/>
        <v>23</v>
      </c>
      <c r="H27" s="68"/>
      <c r="I27" s="69"/>
      <c r="J27" s="70"/>
      <c r="K27" s="70"/>
      <c r="L27" s="68"/>
      <c r="M27" s="69"/>
    </row>
    <row r="28" spans="1:13">
      <c r="A28" s="116"/>
      <c r="B28" s="104"/>
      <c r="C28" s="106"/>
      <c r="D28" s="57">
        <v>0</v>
      </c>
      <c r="E28" s="57">
        <v>1</v>
      </c>
      <c r="F28" s="66">
        <v>18</v>
      </c>
      <c r="G28" s="66">
        <f t="shared" si="1"/>
        <v>24</v>
      </c>
      <c r="H28" s="68"/>
      <c r="I28" s="69"/>
      <c r="J28" s="70"/>
      <c r="K28" s="70"/>
      <c r="L28" s="68"/>
      <c r="M28" s="69"/>
    </row>
    <row r="29" spans="1:13">
      <c r="A29" s="116" t="s">
        <v>247</v>
      </c>
      <c r="B29" s="104" t="str">
        <f>DEC2HEX(C29)</f>
        <v>0</v>
      </c>
      <c r="C29" s="106">
        <f>SUMIF(D29:D36,1,E29:E36)</f>
        <v>0</v>
      </c>
      <c r="D29" s="57">
        <v>0</v>
      </c>
      <c r="E29" s="57">
        <v>128</v>
      </c>
      <c r="F29" s="66">
        <v>19</v>
      </c>
      <c r="G29" s="66">
        <f t="shared" si="1"/>
        <v>25</v>
      </c>
      <c r="H29" s="68"/>
      <c r="I29" s="69"/>
      <c r="J29" s="70"/>
      <c r="K29" s="70"/>
      <c r="L29" s="68"/>
      <c r="M29" s="69"/>
    </row>
    <row r="30" spans="1:13">
      <c r="A30" s="116"/>
      <c r="B30" s="104"/>
      <c r="C30" s="106"/>
      <c r="D30" s="57">
        <v>0</v>
      </c>
      <c r="E30" s="57">
        <v>64</v>
      </c>
      <c r="F30" s="66" t="s">
        <v>61</v>
      </c>
      <c r="G30" s="66">
        <f t="shared" si="1"/>
        <v>26</v>
      </c>
      <c r="H30" s="68"/>
      <c r="I30" s="69"/>
      <c r="J30" s="70"/>
      <c r="K30" s="70"/>
      <c r="L30" s="68"/>
      <c r="M30" s="69"/>
    </row>
    <row r="31" spans="1:13">
      <c r="A31" s="116"/>
      <c r="B31" s="104"/>
      <c r="C31" s="106"/>
      <c r="D31" s="57">
        <v>0</v>
      </c>
      <c r="E31" s="57">
        <v>32</v>
      </c>
      <c r="F31" s="66" t="s">
        <v>62</v>
      </c>
      <c r="G31" s="66">
        <f t="shared" si="1"/>
        <v>27</v>
      </c>
      <c r="H31" s="68"/>
      <c r="I31" s="69"/>
      <c r="J31" s="70"/>
      <c r="K31" s="70"/>
      <c r="L31" s="68"/>
      <c r="M31" s="69"/>
    </row>
    <row r="32" spans="1:13">
      <c r="A32" s="116"/>
      <c r="B32" s="104"/>
      <c r="C32" s="106"/>
      <c r="D32" s="57">
        <v>0</v>
      </c>
      <c r="E32" s="57">
        <v>16</v>
      </c>
      <c r="F32" s="66" t="s">
        <v>63</v>
      </c>
      <c r="G32" s="67">
        <f t="shared" si="1"/>
        <v>28</v>
      </c>
      <c r="H32" s="68"/>
      <c r="I32" s="69"/>
      <c r="J32" s="70"/>
      <c r="K32" s="70"/>
      <c r="L32" s="68"/>
      <c r="M32" s="86"/>
    </row>
    <row r="33" spans="1:13">
      <c r="A33" s="116"/>
      <c r="B33" s="104"/>
      <c r="C33" s="106"/>
      <c r="D33" s="57">
        <v>0</v>
      </c>
      <c r="E33" s="57">
        <v>8</v>
      </c>
      <c r="F33" s="66" t="s">
        <v>65</v>
      </c>
      <c r="G33" s="67">
        <f t="shared" si="1"/>
        <v>29</v>
      </c>
      <c r="H33" s="68"/>
      <c r="I33" s="69"/>
      <c r="J33" s="70"/>
      <c r="K33" s="70"/>
      <c r="L33" s="68"/>
      <c r="M33" s="69"/>
    </row>
    <row r="34" spans="1:13">
      <c r="A34" s="116"/>
      <c r="B34" s="104"/>
      <c r="C34" s="106"/>
      <c r="D34" s="57">
        <v>0</v>
      </c>
      <c r="E34" s="57">
        <v>4</v>
      </c>
      <c r="F34" s="66" t="s">
        <v>68</v>
      </c>
      <c r="G34" s="66">
        <f t="shared" si="1"/>
        <v>30</v>
      </c>
      <c r="H34" s="68"/>
      <c r="I34" s="69"/>
      <c r="J34" s="70"/>
      <c r="K34" s="70"/>
      <c r="L34" s="68"/>
      <c r="M34" s="86"/>
    </row>
    <row r="35" spans="1:13">
      <c r="A35" s="116"/>
      <c r="B35" s="104"/>
      <c r="C35" s="106"/>
      <c r="D35" s="57">
        <v>0</v>
      </c>
      <c r="E35" s="57">
        <v>2</v>
      </c>
      <c r="F35" s="66" t="s">
        <v>70</v>
      </c>
      <c r="G35" s="67">
        <f t="shared" si="1"/>
        <v>31</v>
      </c>
      <c r="H35" s="68"/>
      <c r="I35" s="69"/>
      <c r="J35" s="70"/>
      <c r="K35" s="97"/>
      <c r="L35" s="68"/>
      <c r="M35" s="69"/>
    </row>
    <row r="36" spans="1:13" ht="16" thickBot="1">
      <c r="A36" s="116"/>
      <c r="B36" s="104"/>
      <c r="C36" s="106"/>
      <c r="D36" s="57">
        <v>0</v>
      </c>
      <c r="E36" s="57">
        <v>1</v>
      </c>
      <c r="F36" s="66">
        <v>20</v>
      </c>
      <c r="G36" s="67">
        <f t="shared" si="1"/>
        <v>32</v>
      </c>
      <c r="H36" s="68"/>
      <c r="I36" s="69"/>
      <c r="J36" s="70"/>
      <c r="K36" s="70"/>
      <c r="L36" s="68"/>
      <c r="M36" s="86"/>
    </row>
    <row r="37" spans="1:13">
      <c r="A37" s="117" t="s">
        <v>244</v>
      </c>
      <c r="B37" s="109" t="str">
        <f>DEC2HEX(C37)</f>
        <v>0</v>
      </c>
      <c r="C37" s="110">
        <f>SUMIF(D37:D44,1,E37:E44)</f>
        <v>0</v>
      </c>
      <c r="D37" s="57">
        <v>0</v>
      </c>
      <c r="E37" s="57">
        <v>128</v>
      </c>
      <c r="F37" s="66">
        <v>21</v>
      </c>
      <c r="G37" s="67">
        <f t="shared" si="1"/>
        <v>33</v>
      </c>
      <c r="H37" s="68"/>
      <c r="I37" s="69"/>
      <c r="J37" s="70"/>
      <c r="K37" s="97"/>
      <c r="L37" s="68"/>
      <c r="M37" s="69"/>
    </row>
    <row r="38" spans="1:13">
      <c r="A38" s="116"/>
      <c r="B38" s="104"/>
      <c r="C38" s="106"/>
      <c r="D38" s="57">
        <v>0</v>
      </c>
      <c r="E38" s="57">
        <v>64</v>
      </c>
      <c r="F38" s="66">
        <v>22</v>
      </c>
      <c r="G38" s="67">
        <f t="shared" si="1"/>
        <v>34</v>
      </c>
      <c r="H38" s="68"/>
      <c r="I38" s="86"/>
      <c r="J38" s="70"/>
      <c r="K38" s="70"/>
      <c r="L38" s="68"/>
      <c r="M38" s="69"/>
    </row>
    <row r="39" spans="1:13">
      <c r="A39" s="116"/>
      <c r="B39" s="104"/>
      <c r="C39" s="106"/>
      <c r="D39" s="57">
        <v>0</v>
      </c>
      <c r="E39" s="57">
        <v>32</v>
      </c>
      <c r="F39" s="66">
        <v>23</v>
      </c>
      <c r="G39" s="67">
        <f t="shared" si="1"/>
        <v>35</v>
      </c>
      <c r="H39" s="68"/>
      <c r="I39" s="86"/>
      <c r="J39" s="70"/>
      <c r="K39" s="97"/>
      <c r="L39" s="68"/>
      <c r="M39" s="69"/>
    </row>
    <row r="40" spans="1:13">
      <c r="A40" s="116"/>
      <c r="B40" s="104"/>
      <c r="C40" s="106"/>
      <c r="D40" s="57">
        <v>0</v>
      </c>
      <c r="E40" s="57">
        <v>16</v>
      </c>
      <c r="F40" s="66">
        <v>24</v>
      </c>
      <c r="G40" s="66">
        <f t="shared" si="1"/>
        <v>36</v>
      </c>
      <c r="H40" s="68"/>
      <c r="I40" s="69"/>
      <c r="J40" s="70"/>
      <c r="K40" s="70"/>
      <c r="L40" s="68"/>
      <c r="M40" s="69"/>
    </row>
    <row r="41" spans="1:13">
      <c r="A41" s="116"/>
      <c r="B41" s="104"/>
      <c r="C41" s="106"/>
      <c r="D41" s="57">
        <v>0</v>
      </c>
      <c r="E41" s="57">
        <v>8</v>
      </c>
      <c r="F41" s="66">
        <v>25</v>
      </c>
      <c r="G41" s="66">
        <f t="shared" si="1"/>
        <v>37</v>
      </c>
      <c r="H41" s="68"/>
      <c r="I41" s="69"/>
      <c r="J41" s="70"/>
      <c r="K41" s="70"/>
      <c r="L41" s="68"/>
      <c r="M41" s="69"/>
    </row>
    <row r="42" spans="1:13">
      <c r="A42" s="116"/>
      <c r="B42" s="104"/>
      <c r="C42" s="106"/>
      <c r="D42" s="57">
        <v>0</v>
      </c>
      <c r="E42" s="94">
        <v>4</v>
      </c>
      <c r="F42" s="66">
        <v>26</v>
      </c>
      <c r="G42" s="66">
        <f t="shared" si="1"/>
        <v>38</v>
      </c>
      <c r="H42" s="68"/>
      <c r="I42" s="69"/>
      <c r="J42" s="70"/>
      <c r="K42" s="70"/>
      <c r="L42" s="68"/>
      <c r="M42" s="69"/>
    </row>
    <row r="43" spans="1:13">
      <c r="A43" s="116"/>
      <c r="B43" s="104"/>
      <c r="C43" s="106"/>
      <c r="D43" s="57">
        <v>0</v>
      </c>
      <c r="E43" s="94">
        <v>2</v>
      </c>
      <c r="F43" s="66">
        <v>27</v>
      </c>
      <c r="G43" s="66">
        <f t="shared" si="1"/>
        <v>39</v>
      </c>
      <c r="H43" s="68"/>
      <c r="I43" s="69"/>
      <c r="J43" s="70"/>
      <c r="K43" s="70"/>
      <c r="L43" s="68"/>
      <c r="M43" s="69"/>
    </row>
    <row r="44" spans="1:13">
      <c r="A44" s="116"/>
      <c r="B44" s="104"/>
      <c r="C44" s="106"/>
      <c r="D44" s="57">
        <v>0</v>
      </c>
      <c r="E44" s="57">
        <v>1</v>
      </c>
      <c r="F44" s="66">
        <v>28</v>
      </c>
      <c r="G44" s="66">
        <f t="shared" si="1"/>
        <v>40</v>
      </c>
      <c r="H44" s="68"/>
      <c r="I44" s="69"/>
      <c r="J44" s="70"/>
      <c r="K44" s="70"/>
      <c r="L44" s="68"/>
      <c r="M44" s="69"/>
    </row>
    <row r="45" spans="1:13">
      <c r="A45" s="102" t="s">
        <v>245</v>
      </c>
      <c r="B45" s="104" t="str">
        <f>DEC2HEX(C45)</f>
        <v>0</v>
      </c>
      <c r="C45" s="106">
        <f>SUMIF(D45:D52,1,E45:E52)</f>
        <v>0</v>
      </c>
      <c r="D45" s="57">
        <v>0</v>
      </c>
      <c r="E45" s="57">
        <v>128</v>
      </c>
      <c r="F45" s="66">
        <v>29</v>
      </c>
      <c r="G45" s="66">
        <f t="shared" si="1"/>
        <v>41</v>
      </c>
      <c r="H45" s="68"/>
      <c r="I45" s="69"/>
      <c r="J45" s="70"/>
      <c r="K45" s="70"/>
      <c r="L45" s="68"/>
      <c r="M45" s="69"/>
    </row>
    <row r="46" spans="1:13">
      <c r="A46" s="102"/>
      <c r="B46" s="104"/>
      <c r="C46" s="106"/>
      <c r="D46" s="57">
        <v>0</v>
      </c>
      <c r="E46" s="57">
        <v>64</v>
      </c>
      <c r="F46" s="66" t="s">
        <v>87</v>
      </c>
      <c r="G46" s="66">
        <f t="shared" si="1"/>
        <v>42</v>
      </c>
      <c r="H46" s="68"/>
      <c r="I46" s="69"/>
      <c r="J46" s="70"/>
      <c r="K46" s="70"/>
      <c r="L46" s="68"/>
      <c r="M46" s="69"/>
    </row>
    <row r="47" spans="1:13">
      <c r="A47" s="102"/>
      <c r="B47" s="104"/>
      <c r="C47" s="106"/>
      <c r="D47" s="57">
        <v>0</v>
      </c>
      <c r="E47" s="57">
        <v>32</v>
      </c>
      <c r="F47" s="66" t="s">
        <v>88</v>
      </c>
      <c r="G47" s="66">
        <f t="shared" si="1"/>
        <v>43</v>
      </c>
      <c r="H47" s="68"/>
      <c r="I47" s="69"/>
      <c r="J47" s="70"/>
      <c r="K47" s="70"/>
      <c r="L47" s="68"/>
      <c r="M47" s="69"/>
    </row>
    <row r="48" spans="1:13">
      <c r="A48" s="102"/>
      <c r="B48" s="104"/>
      <c r="C48" s="106"/>
      <c r="D48" s="57">
        <v>0</v>
      </c>
      <c r="E48" s="57">
        <v>16</v>
      </c>
      <c r="F48" s="66" t="s">
        <v>89</v>
      </c>
      <c r="G48" s="67">
        <f t="shared" si="1"/>
        <v>44</v>
      </c>
      <c r="H48" s="68"/>
      <c r="I48" s="86"/>
      <c r="J48" s="70"/>
      <c r="K48" s="70"/>
      <c r="L48" s="68"/>
      <c r="M48" s="69"/>
    </row>
    <row r="49" spans="1:13">
      <c r="A49" s="102"/>
      <c r="B49" s="104"/>
      <c r="C49" s="106"/>
      <c r="D49" s="57">
        <v>0</v>
      </c>
      <c r="E49" s="57">
        <v>8</v>
      </c>
      <c r="F49" s="66" t="s">
        <v>91</v>
      </c>
      <c r="G49" s="67">
        <f t="shared" si="1"/>
        <v>45</v>
      </c>
      <c r="H49" s="68"/>
      <c r="I49" s="69"/>
      <c r="J49" s="70"/>
      <c r="K49" s="70"/>
      <c r="L49" s="68"/>
      <c r="M49" s="69"/>
    </row>
    <row r="50" spans="1:13">
      <c r="A50" s="102"/>
      <c r="B50" s="104"/>
      <c r="C50" s="106"/>
      <c r="D50" s="57">
        <v>0</v>
      </c>
      <c r="E50" s="94">
        <v>4</v>
      </c>
      <c r="F50" s="66" t="s">
        <v>94</v>
      </c>
      <c r="G50" s="67">
        <f t="shared" si="1"/>
        <v>46</v>
      </c>
      <c r="H50" s="68"/>
      <c r="I50" s="69"/>
      <c r="J50" s="70"/>
      <c r="K50" s="70"/>
      <c r="L50" s="68"/>
      <c r="M50" s="69"/>
    </row>
    <row r="51" spans="1:13">
      <c r="A51" s="102"/>
      <c r="B51" s="104"/>
      <c r="C51" s="106"/>
      <c r="D51" s="57">
        <v>0</v>
      </c>
      <c r="E51" s="94">
        <v>2</v>
      </c>
      <c r="F51" s="66" t="s">
        <v>96</v>
      </c>
      <c r="G51" s="67">
        <f t="shared" si="1"/>
        <v>47</v>
      </c>
      <c r="H51" s="68"/>
      <c r="I51" s="69"/>
      <c r="J51" s="70"/>
      <c r="K51" s="70"/>
      <c r="L51" s="68"/>
      <c r="M51" s="69"/>
    </row>
    <row r="52" spans="1:13">
      <c r="A52" s="102"/>
      <c r="B52" s="104"/>
      <c r="C52" s="106"/>
      <c r="D52" s="57">
        <v>0</v>
      </c>
      <c r="E52" s="57">
        <v>1</v>
      </c>
      <c r="F52" s="66">
        <v>30</v>
      </c>
      <c r="G52" s="67">
        <f t="shared" si="1"/>
        <v>48</v>
      </c>
      <c r="H52" s="68"/>
      <c r="I52" s="69"/>
      <c r="J52" s="70"/>
      <c r="K52" s="70"/>
      <c r="L52" s="68"/>
      <c r="M52" s="69"/>
    </row>
    <row r="53" spans="1:13">
      <c r="A53" s="102" t="s">
        <v>246</v>
      </c>
      <c r="B53" s="104" t="str">
        <f>DEC2HEX(C53)</f>
        <v>0</v>
      </c>
      <c r="C53" s="106">
        <f>SUMIF(D53:D60,1,E53:E60)</f>
        <v>0</v>
      </c>
      <c r="D53" s="57">
        <v>0</v>
      </c>
      <c r="E53" s="65">
        <v>128</v>
      </c>
      <c r="F53" s="66">
        <v>31</v>
      </c>
      <c r="G53" s="67">
        <f t="shared" si="1"/>
        <v>49</v>
      </c>
      <c r="H53" s="68"/>
      <c r="I53" s="69"/>
      <c r="J53" s="70"/>
      <c r="K53" s="97"/>
      <c r="L53" s="68"/>
      <c r="M53" s="69"/>
    </row>
    <row r="54" spans="1:13">
      <c r="A54" s="102"/>
      <c r="B54" s="104"/>
      <c r="C54" s="106"/>
      <c r="D54" s="57">
        <v>0</v>
      </c>
      <c r="E54" s="65">
        <v>64</v>
      </c>
      <c r="F54" s="66">
        <v>32</v>
      </c>
      <c r="G54" s="66">
        <f t="shared" si="1"/>
        <v>50</v>
      </c>
      <c r="H54" s="68"/>
      <c r="I54" s="69"/>
      <c r="J54" s="97"/>
      <c r="K54" s="70"/>
      <c r="L54" s="68"/>
      <c r="M54" s="69"/>
    </row>
    <row r="55" spans="1:13">
      <c r="A55" s="102"/>
      <c r="B55" s="104"/>
      <c r="C55" s="106"/>
      <c r="D55" s="57">
        <v>0</v>
      </c>
      <c r="E55" s="65">
        <v>32</v>
      </c>
      <c r="F55" s="66">
        <v>33</v>
      </c>
      <c r="G55" s="67">
        <f t="shared" si="1"/>
        <v>51</v>
      </c>
      <c r="H55" s="68"/>
      <c r="I55" s="69"/>
      <c r="J55" s="70"/>
      <c r="K55" s="70"/>
      <c r="L55" s="68"/>
      <c r="M55" s="69"/>
    </row>
    <row r="56" spans="1:13">
      <c r="A56" s="102"/>
      <c r="B56" s="104"/>
      <c r="C56" s="106"/>
      <c r="D56" s="57">
        <v>0</v>
      </c>
      <c r="E56" s="65">
        <v>16</v>
      </c>
      <c r="F56" s="66">
        <v>34</v>
      </c>
      <c r="G56" s="66">
        <f t="shared" si="1"/>
        <v>52</v>
      </c>
      <c r="H56" s="68"/>
      <c r="I56" s="69"/>
      <c r="J56" s="70"/>
      <c r="K56" s="70"/>
      <c r="L56" s="68"/>
      <c r="M56" s="69"/>
    </row>
    <row r="57" spans="1:13">
      <c r="A57" s="102"/>
      <c r="B57" s="104"/>
      <c r="C57" s="106"/>
      <c r="D57" s="57">
        <v>0</v>
      </c>
      <c r="E57" s="65">
        <v>8</v>
      </c>
      <c r="F57" s="66">
        <v>35</v>
      </c>
      <c r="G57" s="66">
        <f t="shared" si="1"/>
        <v>53</v>
      </c>
      <c r="H57" s="68"/>
      <c r="I57" s="69"/>
      <c r="J57" s="70"/>
      <c r="K57" s="70"/>
      <c r="L57" s="68"/>
      <c r="M57" s="69"/>
    </row>
    <row r="58" spans="1:13">
      <c r="A58" s="102"/>
      <c r="B58" s="104"/>
      <c r="C58" s="106"/>
      <c r="D58" s="57">
        <v>0</v>
      </c>
      <c r="E58" s="98">
        <v>4</v>
      </c>
      <c r="F58" s="66">
        <v>36</v>
      </c>
      <c r="G58" s="66">
        <f t="shared" si="1"/>
        <v>54</v>
      </c>
      <c r="H58" s="68"/>
      <c r="I58" s="99"/>
      <c r="J58" s="70"/>
      <c r="K58" s="70"/>
      <c r="L58" s="68"/>
      <c r="M58" s="69"/>
    </row>
    <row r="59" spans="1:13">
      <c r="A59" s="102"/>
      <c r="B59" s="104"/>
      <c r="C59" s="106"/>
      <c r="D59" s="57">
        <v>0</v>
      </c>
      <c r="E59" s="98">
        <v>2</v>
      </c>
      <c r="F59" s="66">
        <v>37</v>
      </c>
      <c r="G59" s="66">
        <f t="shared" si="1"/>
        <v>55</v>
      </c>
      <c r="H59" s="68"/>
      <c r="I59" s="99"/>
      <c r="J59" s="70"/>
      <c r="K59" s="70"/>
      <c r="L59" s="68"/>
      <c r="M59" s="69"/>
    </row>
    <row r="60" spans="1:13">
      <c r="A60" s="102"/>
      <c r="B60" s="104"/>
      <c r="C60" s="106"/>
      <c r="D60" s="57">
        <v>0</v>
      </c>
      <c r="E60" s="65">
        <v>1</v>
      </c>
      <c r="F60" s="66">
        <v>38</v>
      </c>
      <c r="G60" s="66">
        <f t="shared" si="1"/>
        <v>56</v>
      </c>
      <c r="H60" s="68"/>
      <c r="I60" s="99"/>
      <c r="J60" s="70"/>
      <c r="K60" s="70"/>
      <c r="L60" s="68"/>
      <c r="M60" s="69"/>
    </row>
    <row r="61" spans="1:13">
      <c r="A61" s="102" t="s">
        <v>247</v>
      </c>
      <c r="B61" s="104" t="str">
        <f>DEC2HEX(C61)</f>
        <v>0</v>
      </c>
      <c r="C61" s="106">
        <f>SUMIF(D61:D68,1,E61:E68)</f>
        <v>0</v>
      </c>
      <c r="D61" s="57">
        <v>0</v>
      </c>
      <c r="E61" s="65">
        <v>128</v>
      </c>
      <c r="F61" s="66">
        <v>39</v>
      </c>
      <c r="G61" s="66">
        <f t="shared" si="1"/>
        <v>57</v>
      </c>
      <c r="H61" s="68"/>
      <c r="I61" s="99"/>
      <c r="J61" s="70"/>
      <c r="K61" s="70"/>
      <c r="L61" s="68"/>
      <c r="M61" s="69"/>
    </row>
    <row r="62" spans="1:13">
      <c r="A62" s="102"/>
      <c r="B62" s="104"/>
      <c r="C62" s="106"/>
      <c r="D62" s="57">
        <v>0</v>
      </c>
      <c r="E62" s="65">
        <v>64</v>
      </c>
      <c r="F62" s="66" t="s">
        <v>104</v>
      </c>
      <c r="G62" s="66">
        <f t="shared" si="1"/>
        <v>58</v>
      </c>
      <c r="H62" s="68"/>
      <c r="I62" s="99"/>
      <c r="J62" s="70"/>
      <c r="K62" s="70"/>
      <c r="L62" s="68"/>
      <c r="M62" s="69"/>
    </row>
    <row r="63" spans="1:13">
      <c r="A63" s="102"/>
      <c r="B63" s="104"/>
      <c r="C63" s="106"/>
      <c r="D63" s="57">
        <v>0</v>
      </c>
      <c r="E63" s="65">
        <v>32</v>
      </c>
      <c r="F63" s="66" t="s">
        <v>105</v>
      </c>
      <c r="G63" s="66">
        <f t="shared" si="1"/>
        <v>59</v>
      </c>
      <c r="H63" s="68"/>
      <c r="I63" s="99"/>
      <c r="J63" s="70"/>
      <c r="K63" s="70"/>
      <c r="L63" s="68"/>
      <c r="M63" s="69"/>
    </row>
    <row r="64" spans="1:13">
      <c r="A64" s="102"/>
      <c r="B64" s="104"/>
      <c r="C64" s="106"/>
      <c r="D64" s="57">
        <v>0</v>
      </c>
      <c r="E64" s="65">
        <v>16</v>
      </c>
      <c r="F64" s="66" t="s">
        <v>106</v>
      </c>
      <c r="G64" s="67">
        <f t="shared" si="1"/>
        <v>60</v>
      </c>
      <c r="H64" s="68"/>
      <c r="I64" s="69"/>
      <c r="J64" s="112"/>
      <c r="K64" s="115"/>
      <c r="L64" s="111"/>
      <c r="M64" s="114"/>
    </row>
    <row r="65" spans="1:13">
      <c r="A65" s="102"/>
      <c r="B65" s="104"/>
      <c r="C65" s="106"/>
      <c r="D65" s="57">
        <v>0</v>
      </c>
      <c r="E65" s="65">
        <v>8</v>
      </c>
      <c r="F65" s="66" t="s">
        <v>109</v>
      </c>
      <c r="G65" s="67">
        <f t="shared" si="1"/>
        <v>61</v>
      </c>
      <c r="H65" s="68"/>
      <c r="I65" s="69"/>
      <c r="J65" s="112"/>
      <c r="K65" s="115"/>
      <c r="L65" s="111"/>
      <c r="M65" s="114"/>
    </row>
    <row r="66" spans="1:13">
      <c r="A66" s="102"/>
      <c r="B66" s="104"/>
      <c r="C66" s="106"/>
      <c r="D66" s="57">
        <v>0</v>
      </c>
      <c r="E66" s="98">
        <v>4</v>
      </c>
      <c r="F66" s="66" t="s">
        <v>111</v>
      </c>
      <c r="G66" s="67">
        <f t="shared" si="1"/>
        <v>62</v>
      </c>
      <c r="H66" s="68"/>
      <c r="I66" s="69"/>
      <c r="J66" s="112"/>
      <c r="K66" s="115"/>
      <c r="L66" s="111"/>
      <c r="M66" s="114"/>
    </row>
    <row r="67" spans="1:13">
      <c r="A67" s="102"/>
      <c r="B67" s="104"/>
      <c r="C67" s="106"/>
      <c r="D67" s="57">
        <v>0</v>
      </c>
      <c r="E67" s="98">
        <v>2</v>
      </c>
      <c r="F67" s="66" t="s">
        <v>113</v>
      </c>
      <c r="G67" s="67">
        <f t="shared" si="1"/>
        <v>63</v>
      </c>
      <c r="H67" s="68"/>
      <c r="I67" s="69"/>
      <c r="J67" s="112"/>
      <c r="K67" s="115"/>
      <c r="L67" s="111"/>
      <c r="M67" s="114"/>
    </row>
    <row r="68" spans="1:13" ht="16" thickBot="1">
      <c r="A68" s="103"/>
      <c r="B68" s="105"/>
      <c r="C68" s="107"/>
      <c r="D68" s="57">
        <v>0</v>
      </c>
      <c r="E68" s="65">
        <v>1</v>
      </c>
      <c r="F68" s="66">
        <v>40</v>
      </c>
      <c r="G68" s="67">
        <f t="shared" si="1"/>
        <v>64</v>
      </c>
      <c r="H68" s="68"/>
      <c r="I68" s="69"/>
      <c r="J68" s="70"/>
      <c r="K68" s="70"/>
      <c r="L68" s="68"/>
      <c r="M68" s="86"/>
    </row>
    <row r="69" spans="1:13">
      <c r="A69" s="108" t="s">
        <v>244</v>
      </c>
      <c r="B69" s="109" t="str">
        <f>DEC2HEX(C69)</f>
        <v>0</v>
      </c>
      <c r="C69" s="110">
        <f>SUMIF(D69:D76,1,E69:E76)</f>
        <v>0</v>
      </c>
      <c r="D69" s="57">
        <v>0</v>
      </c>
      <c r="E69" s="65">
        <v>128</v>
      </c>
      <c r="F69" s="66">
        <v>41</v>
      </c>
      <c r="G69" s="67">
        <f t="shared" si="1"/>
        <v>65</v>
      </c>
      <c r="H69" s="68"/>
      <c r="I69" s="69"/>
      <c r="J69" s="70"/>
      <c r="K69" s="70"/>
      <c r="L69" s="68"/>
      <c r="M69" s="86"/>
    </row>
    <row r="70" spans="1:13">
      <c r="A70" s="102"/>
      <c r="B70" s="104"/>
      <c r="C70" s="106"/>
      <c r="D70" s="57">
        <v>0</v>
      </c>
      <c r="E70" s="65">
        <v>64</v>
      </c>
      <c r="F70" s="66">
        <v>42</v>
      </c>
      <c r="G70" s="67">
        <f t="shared" si="1"/>
        <v>66</v>
      </c>
      <c r="H70" s="68"/>
      <c r="I70" s="69"/>
      <c r="J70" s="70"/>
      <c r="K70" s="70"/>
      <c r="L70" s="68"/>
      <c r="M70" s="69"/>
    </row>
    <row r="71" spans="1:13">
      <c r="A71" s="102"/>
      <c r="B71" s="104"/>
      <c r="C71" s="106"/>
      <c r="D71" s="57">
        <v>0</v>
      </c>
      <c r="E71" s="65">
        <v>32</v>
      </c>
      <c r="F71" s="66">
        <v>43</v>
      </c>
      <c r="G71" s="67">
        <f t="shared" si="1"/>
        <v>67</v>
      </c>
      <c r="H71" s="68"/>
      <c r="I71" s="69"/>
      <c r="J71" s="70"/>
      <c r="K71" s="97"/>
      <c r="L71" s="68"/>
      <c r="M71" s="69"/>
    </row>
    <row r="72" spans="1:13">
      <c r="A72" s="102"/>
      <c r="B72" s="104"/>
      <c r="C72" s="106"/>
      <c r="D72" s="57">
        <v>0</v>
      </c>
      <c r="E72" s="65">
        <v>16</v>
      </c>
      <c r="F72" s="66">
        <v>44</v>
      </c>
      <c r="G72" s="67">
        <f t="shared" si="1"/>
        <v>68</v>
      </c>
      <c r="H72" s="68"/>
      <c r="I72" s="69"/>
      <c r="J72" s="70"/>
      <c r="K72" s="70"/>
      <c r="L72" s="68"/>
      <c r="M72" s="69"/>
    </row>
    <row r="73" spans="1:13">
      <c r="A73" s="102"/>
      <c r="B73" s="104"/>
      <c r="C73" s="106"/>
      <c r="D73" s="57">
        <v>0</v>
      </c>
      <c r="E73" s="65">
        <v>8</v>
      </c>
      <c r="F73" s="66">
        <v>45</v>
      </c>
      <c r="G73" s="67">
        <f t="shared" si="1"/>
        <v>69</v>
      </c>
      <c r="H73" s="68"/>
      <c r="I73" s="69"/>
      <c r="J73" s="70"/>
      <c r="K73" s="70"/>
      <c r="L73" s="68"/>
      <c r="M73" s="69"/>
    </row>
    <row r="74" spans="1:13">
      <c r="A74" s="102"/>
      <c r="B74" s="104"/>
      <c r="C74" s="106"/>
      <c r="D74" s="57">
        <v>0</v>
      </c>
      <c r="E74" s="98">
        <v>4</v>
      </c>
      <c r="F74" s="66">
        <v>46</v>
      </c>
      <c r="G74" s="67">
        <f t="shared" si="1"/>
        <v>70</v>
      </c>
      <c r="H74" s="68"/>
      <c r="I74" s="69"/>
      <c r="J74" s="70"/>
      <c r="K74" s="70"/>
      <c r="L74" s="68"/>
      <c r="M74" s="69"/>
    </row>
    <row r="75" spans="1:13">
      <c r="A75" s="102"/>
      <c r="B75" s="104"/>
      <c r="C75" s="106"/>
      <c r="D75" s="57">
        <v>0</v>
      </c>
      <c r="E75" s="98">
        <v>2</v>
      </c>
      <c r="F75" s="66">
        <v>47</v>
      </c>
      <c r="G75" s="67">
        <f t="shared" ref="G75:G103" si="2">HEX2DEC(F75)</f>
        <v>71</v>
      </c>
      <c r="H75" s="68"/>
      <c r="I75" s="69"/>
      <c r="J75" s="112"/>
      <c r="K75" s="112"/>
      <c r="L75" s="111"/>
      <c r="M75" s="114"/>
    </row>
    <row r="76" spans="1:13">
      <c r="A76" s="102"/>
      <c r="B76" s="104"/>
      <c r="C76" s="106"/>
      <c r="D76" s="57">
        <v>0</v>
      </c>
      <c r="E76" s="65">
        <v>1</v>
      </c>
      <c r="F76" s="66">
        <v>48</v>
      </c>
      <c r="G76" s="67">
        <f t="shared" si="2"/>
        <v>72</v>
      </c>
      <c r="H76" s="68"/>
      <c r="I76" s="69"/>
      <c r="J76" s="112"/>
      <c r="K76" s="112"/>
      <c r="L76" s="111"/>
      <c r="M76" s="114"/>
    </row>
    <row r="77" spans="1:13">
      <c r="A77" s="102" t="s">
        <v>245</v>
      </c>
      <c r="B77" s="104" t="str">
        <f>DEC2HEX(C77)</f>
        <v>0</v>
      </c>
      <c r="C77" s="106">
        <f>SUMIF(D77:D84,1,E77:E84)</f>
        <v>0</v>
      </c>
      <c r="D77" s="57">
        <v>0</v>
      </c>
      <c r="E77" s="65">
        <v>128</v>
      </c>
      <c r="F77" s="66">
        <v>49</v>
      </c>
      <c r="G77" s="67">
        <f t="shared" si="2"/>
        <v>73</v>
      </c>
      <c r="H77" s="68"/>
      <c r="I77" s="69"/>
      <c r="J77" s="112"/>
      <c r="K77" s="112"/>
      <c r="L77" s="111"/>
      <c r="M77" s="114"/>
    </row>
    <row r="78" spans="1:13">
      <c r="A78" s="102"/>
      <c r="B78" s="104"/>
      <c r="C78" s="106"/>
      <c r="D78" s="57">
        <v>0</v>
      </c>
      <c r="E78" s="65">
        <v>64</v>
      </c>
      <c r="F78" s="66" t="s">
        <v>130</v>
      </c>
      <c r="G78" s="67">
        <f t="shared" si="2"/>
        <v>74</v>
      </c>
      <c r="H78" s="68"/>
      <c r="I78" s="69"/>
      <c r="J78" s="112"/>
      <c r="K78" s="112"/>
      <c r="L78" s="111"/>
      <c r="M78" s="114"/>
    </row>
    <row r="79" spans="1:13">
      <c r="A79" s="102"/>
      <c r="B79" s="104"/>
      <c r="C79" s="106"/>
      <c r="D79" s="57">
        <v>0</v>
      </c>
      <c r="E79" s="65">
        <v>32</v>
      </c>
      <c r="F79" s="66" t="s">
        <v>132</v>
      </c>
      <c r="G79" s="67">
        <f t="shared" si="2"/>
        <v>75</v>
      </c>
      <c r="H79" s="68"/>
      <c r="I79" s="69"/>
      <c r="J79" s="112"/>
      <c r="K79" s="112"/>
      <c r="L79" s="111"/>
      <c r="M79" s="114"/>
    </row>
    <row r="80" spans="1:13">
      <c r="A80" s="102"/>
      <c r="B80" s="104"/>
      <c r="C80" s="106"/>
      <c r="D80" s="57">
        <v>0</v>
      </c>
      <c r="E80" s="65">
        <v>16</v>
      </c>
      <c r="F80" s="66" t="s">
        <v>134</v>
      </c>
      <c r="G80" s="67">
        <f t="shared" si="2"/>
        <v>76</v>
      </c>
      <c r="H80" s="68"/>
      <c r="I80" s="69"/>
      <c r="J80" s="112"/>
      <c r="K80" s="112"/>
      <c r="L80" s="111"/>
      <c r="M80" s="114"/>
    </row>
    <row r="81" spans="1:13">
      <c r="A81" s="102"/>
      <c r="B81" s="104"/>
      <c r="C81" s="106"/>
      <c r="D81" s="57">
        <v>0</v>
      </c>
      <c r="E81" s="65">
        <v>8</v>
      </c>
      <c r="F81" s="66" t="s">
        <v>136</v>
      </c>
      <c r="G81" s="67">
        <f t="shared" si="2"/>
        <v>77</v>
      </c>
      <c r="H81" s="68"/>
      <c r="I81" s="69"/>
      <c r="J81" s="112"/>
      <c r="K81" s="113"/>
      <c r="L81" s="111"/>
      <c r="M81" s="114"/>
    </row>
    <row r="82" spans="1:13">
      <c r="A82" s="102"/>
      <c r="B82" s="104"/>
      <c r="C82" s="106"/>
      <c r="D82" s="57">
        <v>0</v>
      </c>
      <c r="E82" s="98">
        <v>4</v>
      </c>
      <c r="F82" s="66" t="s">
        <v>139</v>
      </c>
      <c r="G82" s="67">
        <f t="shared" si="2"/>
        <v>78</v>
      </c>
      <c r="H82" s="68"/>
      <c r="I82" s="69"/>
      <c r="J82" s="112"/>
      <c r="K82" s="113"/>
      <c r="L82" s="111"/>
      <c r="M82" s="114"/>
    </row>
    <row r="83" spans="1:13">
      <c r="A83" s="102"/>
      <c r="B83" s="104"/>
      <c r="C83" s="106"/>
      <c r="D83" s="57">
        <v>0</v>
      </c>
      <c r="E83" s="98">
        <v>2</v>
      </c>
      <c r="F83" s="66" t="s">
        <v>141</v>
      </c>
      <c r="G83" s="67">
        <f t="shared" si="2"/>
        <v>79</v>
      </c>
      <c r="H83" s="68"/>
      <c r="I83" s="69"/>
      <c r="J83" s="70"/>
      <c r="K83" s="70"/>
      <c r="L83" s="68"/>
      <c r="M83" s="69"/>
    </row>
    <row r="84" spans="1:13">
      <c r="A84" s="102"/>
      <c r="B84" s="104"/>
      <c r="C84" s="106"/>
      <c r="D84" s="57">
        <v>0</v>
      </c>
      <c r="E84" s="65">
        <v>1</v>
      </c>
      <c r="F84" s="66">
        <v>50</v>
      </c>
      <c r="G84" s="67">
        <f t="shared" si="2"/>
        <v>80</v>
      </c>
      <c r="H84" s="68"/>
      <c r="I84" s="69"/>
      <c r="J84" s="70"/>
      <c r="K84" s="70"/>
      <c r="L84" s="68"/>
      <c r="M84" s="69"/>
    </row>
    <row r="85" spans="1:13">
      <c r="A85" s="102" t="s">
        <v>246</v>
      </c>
      <c r="B85" s="104" t="str">
        <f>DEC2HEX(C85)</f>
        <v>0</v>
      </c>
      <c r="C85" s="106">
        <f>SUMIF(D85:D92,1,E85:E92)</f>
        <v>0</v>
      </c>
      <c r="D85" s="57">
        <v>0</v>
      </c>
      <c r="E85" s="65">
        <v>128</v>
      </c>
      <c r="F85" s="66">
        <v>51</v>
      </c>
      <c r="G85" s="67">
        <f t="shared" si="2"/>
        <v>81</v>
      </c>
      <c r="H85" s="68"/>
      <c r="I85" s="69"/>
      <c r="J85" s="70"/>
      <c r="K85" s="70"/>
      <c r="L85" s="68"/>
      <c r="M85" s="86"/>
    </row>
    <row r="86" spans="1:13">
      <c r="A86" s="102"/>
      <c r="B86" s="104"/>
      <c r="C86" s="106"/>
      <c r="D86" s="57">
        <v>0</v>
      </c>
      <c r="E86" s="65">
        <v>64</v>
      </c>
      <c r="F86" s="66">
        <v>52</v>
      </c>
      <c r="G86" s="67">
        <f t="shared" si="2"/>
        <v>82</v>
      </c>
      <c r="H86" s="68"/>
      <c r="I86" s="69"/>
      <c r="J86" s="70"/>
      <c r="K86" s="70"/>
      <c r="L86" s="68"/>
      <c r="M86" s="69"/>
    </row>
    <row r="87" spans="1:13">
      <c r="A87" s="102"/>
      <c r="B87" s="104"/>
      <c r="C87" s="106"/>
      <c r="D87" s="57">
        <v>0</v>
      </c>
      <c r="E87" s="65">
        <v>32</v>
      </c>
      <c r="F87" s="66">
        <v>53</v>
      </c>
      <c r="G87" s="67">
        <f t="shared" si="2"/>
        <v>83</v>
      </c>
      <c r="H87" s="68"/>
      <c r="I87" s="69"/>
      <c r="J87" s="70"/>
      <c r="K87" s="70"/>
      <c r="L87" s="68"/>
      <c r="M87" s="69"/>
    </row>
    <row r="88" spans="1:13">
      <c r="A88" s="102"/>
      <c r="B88" s="104"/>
      <c r="C88" s="106"/>
      <c r="D88" s="57">
        <v>0</v>
      </c>
      <c r="E88" s="65">
        <v>16</v>
      </c>
      <c r="F88" s="66">
        <v>54</v>
      </c>
      <c r="G88" s="67">
        <f t="shared" si="2"/>
        <v>84</v>
      </c>
      <c r="H88" s="68"/>
      <c r="I88" s="69"/>
      <c r="J88" s="97"/>
      <c r="K88" s="97"/>
      <c r="L88" s="68"/>
      <c r="M88" s="69"/>
    </row>
    <row r="89" spans="1:13">
      <c r="A89" s="102"/>
      <c r="B89" s="104"/>
      <c r="C89" s="106"/>
      <c r="D89" s="57">
        <v>0</v>
      </c>
      <c r="E89" s="65">
        <v>8</v>
      </c>
      <c r="F89" s="66">
        <v>55</v>
      </c>
      <c r="G89" s="67">
        <f t="shared" si="2"/>
        <v>85</v>
      </c>
      <c r="H89" s="68"/>
      <c r="I89" s="69"/>
      <c r="J89" s="112"/>
      <c r="K89" s="112"/>
      <c r="L89" s="111"/>
      <c r="M89" s="69"/>
    </row>
    <row r="90" spans="1:13">
      <c r="A90" s="102"/>
      <c r="B90" s="104"/>
      <c r="C90" s="106"/>
      <c r="D90" s="57">
        <v>0</v>
      </c>
      <c r="E90" s="98">
        <v>4</v>
      </c>
      <c r="F90" s="66">
        <v>56</v>
      </c>
      <c r="G90" s="67">
        <f t="shared" si="2"/>
        <v>86</v>
      </c>
      <c r="H90" s="68"/>
      <c r="I90" s="69"/>
      <c r="J90" s="112"/>
      <c r="K90" s="112"/>
      <c r="L90" s="111"/>
      <c r="M90" s="69"/>
    </row>
    <row r="91" spans="1:13">
      <c r="A91" s="102"/>
      <c r="B91" s="104"/>
      <c r="C91" s="106"/>
      <c r="D91" s="57">
        <v>0</v>
      </c>
      <c r="E91" s="98">
        <v>2</v>
      </c>
      <c r="F91" s="66">
        <v>57</v>
      </c>
      <c r="G91" s="67">
        <f t="shared" si="2"/>
        <v>87</v>
      </c>
      <c r="H91" s="68"/>
      <c r="I91" s="69"/>
      <c r="J91" s="112"/>
      <c r="K91" s="112"/>
      <c r="L91" s="111"/>
      <c r="M91" s="69"/>
    </row>
    <row r="92" spans="1:13">
      <c r="A92" s="102"/>
      <c r="B92" s="104"/>
      <c r="C92" s="106"/>
      <c r="D92" s="57">
        <v>0</v>
      </c>
      <c r="E92" s="65">
        <v>1</v>
      </c>
      <c r="F92" s="66">
        <v>58</v>
      </c>
      <c r="G92" s="67">
        <f t="shared" si="2"/>
        <v>88</v>
      </c>
      <c r="H92" s="68"/>
      <c r="I92" s="69"/>
      <c r="J92" s="112"/>
      <c r="K92" s="112"/>
      <c r="L92" s="111"/>
      <c r="M92" s="69"/>
    </row>
    <row r="93" spans="1:13">
      <c r="A93" s="102" t="s">
        <v>247</v>
      </c>
      <c r="B93" s="104" t="str">
        <f>DEC2HEX(C93)</f>
        <v>0</v>
      </c>
      <c r="C93" s="106">
        <f>SUMIF(D93:D100,1,E93:E100)</f>
        <v>0</v>
      </c>
      <c r="D93" s="57">
        <v>0</v>
      </c>
      <c r="E93" s="65">
        <v>128</v>
      </c>
      <c r="F93" s="66">
        <v>59</v>
      </c>
      <c r="G93" s="67">
        <f t="shared" si="2"/>
        <v>89</v>
      </c>
      <c r="H93" s="68"/>
      <c r="I93" s="86"/>
      <c r="J93" s="70"/>
      <c r="K93" s="97"/>
      <c r="L93" s="68"/>
      <c r="M93" s="69"/>
    </row>
    <row r="94" spans="1:13">
      <c r="A94" s="102"/>
      <c r="B94" s="104"/>
      <c r="C94" s="106"/>
      <c r="D94" s="57">
        <v>0</v>
      </c>
      <c r="E94" s="65">
        <v>64</v>
      </c>
      <c r="F94" s="66" t="s">
        <v>164</v>
      </c>
      <c r="G94" s="67">
        <f t="shared" si="2"/>
        <v>90</v>
      </c>
      <c r="H94" s="68"/>
      <c r="I94" s="69"/>
      <c r="J94" s="70"/>
      <c r="K94" s="70"/>
      <c r="L94" s="68"/>
      <c r="M94" s="69"/>
    </row>
    <row r="95" spans="1:13">
      <c r="A95" s="102"/>
      <c r="B95" s="104"/>
      <c r="C95" s="106"/>
      <c r="D95" s="57">
        <v>0</v>
      </c>
      <c r="E95" s="65">
        <v>32</v>
      </c>
      <c r="F95" s="66" t="s">
        <v>166</v>
      </c>
      <c r="G95" s="67">
        <f t="shared" si="2"/>
        <v>91</v>
      </c>
      <c r="H95" s="68"/>
      <c r="I95" s="69"/>
      <c r="J95" s="70"/>
      <c r="K95" s="70"/>
      <c r="L95" s="68"/>
      <c r="M95" s="69"/>
    </row>
    <row r="96" spans="1:13">
      <c r="A96" s="102"/>
      <c r="B96" s="104"/>
      <c r="C96" s="106"/>
      <c r="D96" s="57">
        <v>0</v>
      </c>
      <c r="E96" s="65">
        <v>16</v>
      </c>
      <c r="F96" s="66" t="s">
        <v>168</v>
      </c>
      <c r="G96" s="67">
        <f t="shared" si="2"/>
        <v>92</v>
      </c>
      <c r="H96" s="68"/>
      <c r="I96" s="69"/>
      <c r="J96" s="70"/>
      <c r="K96" s="70"/>
      <c r="L96" s="68"/>
      <c r="M96" s="69"/>
    </row>
    <row r="97" spans="1:13">
      <c r="A97" s="102"/>
      <c r="B97" s="104"/>
      <c r="C97" s="106"/>
      <c r="D97" s="57">
        <v>0</v>
      </c>
      <c r="E97" s="65">
        <v>8</v>
      </c>
      <c r="F97" s="66" t="s">
        <v>170</v>
      </c>
      <c r="G97" s="67">
        <f t="shared" si="2"/>
        <v>93</v>
      </c>
      <c r="H97" s="68"/>
      <c r="I97" s="69"/>
      <c r="J97" s="70"/>
      <c r="K97" s="70"/>
      <c r="L97" s="68"/>
      <c r="M97" s="69"/>
    </row>
    <row r="98" spans="1:13">
      <c r="A98" s="102"/>
      <c r="B98" s="104"/>
      <c r="C98" s="106"/>
      <c r="D98" s="57">
        <v>0</v>
      </c>
      <c r="E98" s="98">
        <v>4</v>
      </c>
      <c r="F98" s="66" t="s">
        <v>174</v>
      </c>
      <c r="G98" s="67">
        <f t="shared" si="2"/>
        <v>94</v>
      </c>
      <c r="H98" s="68"/>
      <c r="I98" s="69"/>
      <c r="J98" s="70"/>
      <c r="K98" s="70"/>
      <c r="L98" s="68"/>
      <c r="M98" s="69"/>
    </row>
    <row r="99" spans="1:13">
      <c r="A99" s="102"/>
      <c r="B99" s="104"/>
      <c r="C99" s="106"/>
      <c r="D99" s="57">
        <v>0</v>
      </c>
      <c r="E99" s="98">
        <v>2</v>
      </c>
      <c r="F99" s="66" t="s">
        <v>178</v>
      </c>
      <c r="G99" s="67">
        <f t="shared" si="2"/>
        <v>95</v>
      </c>
      <c r="H99" s="68"/>
      <c r="I99" s="69"/>
      <c r="J99" s="70"/>
      <c r="K99" s="70"/>
      <c r="L99" s="68"/>
      <c r="M99" s="69"/>
    </row>
    <row r="100" spans="1:13" ht="16" thickBot="1">
      <c r="A100" s="102"/>
      <c r="B100" s="104"/>
      <c r="C100" s="106"/>
      <c r="D100" s="57">
        <v>0</v>
      </c>
      <c r="E100" s="65">
        <v>1</v>
      </c>
      <c r="F100" s="66">
        <v>60</v>
      </c>
      <c r="G100" s="67">
        <f t="shared" si="2"/>
        <v>96</v>
      </c>
      <c r="H100" s="68"/>
      <c r="I100" s="69"/>
      <c r="J100" s="70"/>
      <c r="K100" s="70"/>
      <c r="L100" s="68"/>
      <c r="M100" s="86"/>
    </row>
    <row r="101" spans="1:13">
      <c r="A101" s="108" t="s">
        <v>244</v>
      </c>
      <c r="B101" s="109" t="str">
        <f>DEC2HEX(C101)</f>
        <v>0</v>
      </c>
      <c r="C101" s="110">
        <f>SUMIF(D101:D108,1,E101:E108)</f>
        <v>0</v>
      </c>
      <c r="D101" s="57">
        <v>0</v>
      </c>
      <c r="E101" s="65">
        <v>128</v>
      </c>
      <c r="F101" s="66">
        <v>61</v>
      </c>
      <c r="G101" s="67">
        <f t="shared" si="2"/>
        <v>97</v>
      </c>
      <c r="H101" s="68"/>
      <c r="I101" s="69"/>
      <c r="J101" s="70"/>
      <c r="K101" s="70"/>
      <c r="L101" s="68"/>
      <c r="M101" s="69"/>
    </row>
    <row r="102" spans="1:13">
      <c r="A102" s="102"/>
      <c r="B102" s="104"/>
      <c r="C102" s="106"/>
      <c r="D102" s="57">
        <v>0</v>
      </c>
      <c r="E102" s="65">
        <v>64</v>
      </c>
      <c r="F102" s="66">
        <v>62</v>
      </c>
      <c r="G102" s="67">
        <f t="shared" si="2"/>
        <v>98</v>
      </c>
      <c r="H102" s="68"/>
      <c r="I102" s="69"/>
      <c r="J102" s="70"/>
      <c r="K102" s="70"/>
      <c r="L102" s="68"/>
      <c r="M102" s="69"/>
    </row>
    <row r="103" spans="1:13">
      <c r="A103" s="102"/>
      <c r="B103" s="104"/>
      <c r="C103" s="106"/>
      <c r="D103" s="57">
        <v>0</v>
      </c>
      <c r="E103" s="65">
        <v>32</v>
      </c>
      <c r="F103" s="66">
        <v>63</v>
      </c>
      <c r="G103" s="67">
        <f t="shared" si="2"/>
        <v>99</v>
      </c>
      <c r="H103" s="68"/>
      <c r="I103" s="69"/>
      <c r="J103" s="70"/>
      <c r="K103" s="97"/>
      <c r="L103" s="68"/>
      <c r="M103" s="69"/>
    </row>
    <row r="104" spans="1:13">
      <c r="A104" s="102"/>
      <c r="B104" s="104"/>
      <c r="C104" s="106"/>
      <c r="D104" s="57">
        <v>0</v>
      </c>
      <c r="E104" s="65">
        <v>16</v>
      </c>
      <c r="F104" s="66">
        <v>64</v>
      </c>
      <c r="G104" s="66">
        <f>HEX2DEC(F104)</f>
        <v>100</v>
      </c>
      <c r="H104" s="68"/>
      <c r="I104" s="69"/>
      <c r="J104" s="70"/>
      <c r="K104" s="70"/>
      <c r="L104" s="68"/>
      <c r="M104" s="69"/>
    </row>
    <row r="105" spans="1:13">
      <c r="A105" s="102"/>
      <c r="B105" s="104"/>
      <c r="C105" s="106"/>
      <c r="D105" s="57">
        <v>0</v>
      </c>
      <c r="E105" s="65">
        <v>8</v>
      </c>
      <c r="F105" s="66">
        <v>65</v>
      </c>
      <c r="G105" s="67">
        <f t="shared" ref="G105:G200" si="3">HEX2DEC(F105)</f>
        <v>101</v>
      </c>
      <c r="H105" s="68"/>
      <c r="I105" s="69"/>
      <c r="J105" s="70"/>
      <c r="K105" s="70"/>
      <c r="L105" s="68"/>
      <c r="M105" s="69"/>
    </row>
    <row r="106" spans="1:13">
      <c r="A106" s="102"/>
      <c r="B106" s="104"/>
      <c r="C106" s="106"/>
      <c r="D106" s="57">
        <v>0</v>
      </c>
      <c r="E106" s="98">
        <v>4</v>
      </c>
      <c r="F106" s="66">
        <v>66</v>
      </c>
      <c r="G106" s="67">
        <f t="shared" si="3"/>
        <v>102</v>
      </c>
      <c r="H106" s="68"/>
      <c r="I106" s="69"/>
      <c r="J106" s="70"/>
      <c r="K106" s="70"/>
      <c r="L106" s="68"/>
      <c r="M106" s="69"/>
    </row>
    <row r="107" spans="1:13">
      <c r="A107" s="102"/>
      <c r="B107" s="104"/>
      <c r="C107" s="106"/>
      <c r="D107" s="57">
        <v>0</v>
      </c>
      <c r="E107" s="98">
        <v>2</v>
      </c>
      <c r="F107" s="66">
        <v>67</v>
      </c>
      <c r="G107" s="67">
        <f t="shared" si="3"/>
        <v>103</v>
      </c>
      <c r="H107" s="68"/>
      <c r="I107" s="69"/>
      <c r="J107" s="70"/>
      <c r="K107" s="70"/>
      <c r="L107" s="68"/>
      <c r="M107" s="69"/>
    </row>
    <row r="108" spans="1:13">
      <c r="A108" s="102"/>
      <c r="B108" s="104"/>
      <c r="C108" s="106"/>
      <c r="D108" s="57">
        <v>0</v>
      </c>
      <c r="E108" s="65">
        <v>1</v>
      </c>
      <c r="F108" s="66">
        <v>68</v>
      </c>
      <c r="G108" s="67">
        <f t="shared" si="3"/>
        <v>104</v>
      </c>
      <c r="H108" s="68"/>
      <c r="I108" s="69"/>
      <c r="J108" s="70"/>
      <c r="K108" s="70"/>
      <c r="L108" s="68"/>
      <c r="M108" s="69"/>
    </row>
    <row r="109" spans="1:13">
      <c r="A109" s="102" t="s">
        <v>245</v>
      </c>
      <c r="B109" s="104" t="str">
        <f>DEC2HEX(C109)</f>
        <v>0</v>
      </c>
      <c r="C109" s="106">
        <f>SUMIF(D109:D116,1,E109:E116)</f>
        <v>0</v>
      </c>
      <c r="D109" s="57">
        <v>0</v>
      </c>
      <c r="E109" s="65">
        <v>128</v>
      </c>
      <c r="F109" s="66">
        <v>69</v>
      </c>
      <c r="G109" s="67">
        <f t="shared" si="3"/>
        <v>105</v>
      </c>
      <c r="H109" s="68"/>
      <c r="I109" s="69"/>
      <c r="J109" s="70"/>
      <c r="K109" s="70"/>
      <c r="L109" s="68"/>
      <c r="M109" s="69"/>
    </row>
    <row r="110" spans="1:13">
      <c r="A110" s="102"/>
      <c r="B110" s="104"/>
      <c r="C110" s="106"/>
      <c r="D110" s="57">
        <v>0</v>
      </c>
      <c r="E110" s="65">
        <v>64</v>
      </c>
      <c r="F110" s="66" t="s">
        <v>193</v>
      </c>
      <c r="G110" s="67">
        <f t="shared" si="3"/>
        <v>106</v>
      </c>
      <c r="H110" s="68"/>
      <c r="I110" s="69"/>
      <c r="J110" s="70"/>
      <c r="K110" s="70"/>
      <c r="L110" s="68"/>
      <c r="M110" s="69"/>
    </row>
    <row r="111" spans="1:13">
      <c r="A111" s="102"/>
      <c r="B111" s="104"/>
      <c r="C111" s="106"/>
      <c r="D111" s="57">
        <v>0</v>
      </c>
      <c r="E111" s="65">
        <v>32</v>
      </c>
      <c r="F111" s="66" t="s">
        <v>195</v>
      </c>
      <c r="G111" s="67">
        <f t="shared" si="3"/>
        <v>107</v>
      </c>
      <c r="H111" s="68"/>
      <c r="I111" s="69"/>
      <c r="J111" s="70"/>
      <c r="K111" s="70"/>
      <c r="L111" s="68"/>
      <c r="M111" s="69"/>
    </row>
    <row r="112" spans="1:13">
      <c r="A112" s="102"/>
      <c r="B112" s="104"/>
      <c r="C112" s="106"/>
      <c r="D112" s="57">
        <v>0</v>
      </c>
      <c r="E112" s="65">
        <v>16</v>
      </c>
      <c r="F112" s="66" t="s">
        <v>197</v>
      </c>
      <c r="G112" s="67">
        <f t="shared" si="3"/>
        <v>108</v>
      </c>
      <c r="H112" s="68"/>
      <c r="I112" s="69"/>
      <c r="J112" s="70"/>
      <c r="K112" s="70"/>
      <c r="L112" s="68"/>
      <c r="M112" s="69"/>
    </row>
    <row r="113" spans="1:13">
      <c r="A113" s="102"/>
      <c r="B113" s="104"/>
      <c r="C113" s="106"/>
      <c r="D113" s="57">
        <v>0</v>
      </c>
      <c r="E113" s="65">
        <v>8</v>
      </c>
      <c r="F113" s="66" t="s">
        <v>199</v>
      </c>
      <c r="G113" s="67">
        <f t="shared" si="3"/>
        <v>109</v>
      </c>
      <c r="H113" s="68"/>
      <c r="I113" s="69"/>
      <c r="J113" s="70"/>
      <c r="K113" s="70"/>
      <c r="L113" s="68"/>
      <c r="M113" s="69"/>
    </row>
    <row r="114" spans="1:13">
      <c r="A114" s="102"/>
      <c r="B114" s="104"/>
      <c r="C114" s="106"/>
      <c r="D114" s="57">
        <v>0</v>
      </c>
      <c r="E114" s="98">
        <v>4</v>
      </c>
      <c r="F114" s="66" t="s">
        <v>201</v>
      </c>
      <c r="G114" s="67">
        <f t="shared" si="3"/>
        <v>110</v>
      </c>
      <c r="H114" s="68"/>
      <c r="I114" s="69"/>
      <c r="J114" s="70"/>
      <c r="K114" s="70"/>
      <c r="L114" s="68"/>
      <c r="M114" s="69"/>
    </row>
    <row r="115" spans="1:13">
      <c r="A115" s="102"/>
      <c r="B115" s="104"/>
      <c r="C115" s="106"/>
      <c r="D115" s="57">
        <v>0</v>
      </c>
      <c r="E115" s="98">
        <v>2</v>
      </c>
      <c r="F115" s="66" t="s">
        <v>203</v>
      </c>
      <c r="G115" s="67">
        <f t="shared" si="3"/>
        <v>111</v>
      </c>
      <c r="H115" s="68"/>
      <c r="I115" s="69"/>
      <c r="J115" s="70"/>
      <c r="K115" s="70"/>
      <c r="L115" s="68"/>
      <c r="M115" s="69"/>
    </row>
    <row r="116" spans="1:13">
      <c r="A116" s="102"/>
      <c r="B116" s="104"/>
      <c r="C116" s="106"/>
      <c r="D116" s="57">
        <v>0</v>
      </c>
      <c r="E116" s="65">
        <v>1</v>
      </c>
      <c r="F116" s="66">
        <v>70</v>
      </c>
      <c r="G116" s="67">
        <f t="shared" si="3"/>
        <v>112</v>
      </c>
      <c r="H116" s="68"/>
      <c r="I116" s="69"/>
      <c r="J116" s="70"/>
      <c r="K116" s="70"/>
      <c r="L116" s="68"/>
      <c r="M116" s="69"/>
    </row>
    <row r="117" spans="1:13">
      <c r="A117" s="102" t="s">
        <v>246</v>
      </c>
      <c r="B117" s="104" t="str">
        <f>DEC2HEX(C117)</f>
        <v>0</v>
      </c>
      <c r="C117" s="106">
        <f>SUMIF(D117:D124,1,E117:E124)</f>
        <v>0</v>
      </c>
      <c r="D117" s="57">
        <v>0</v>
      </c>
      <c r="E117" s="65">
        <v>128</v>
      </c>
      <c r="F117" s="66">
        <v>71</v>
      </c>
      <c r="G117" s="67">
        <f t="shared" si="3"/>
        <v>113</v>
      </c>
      <c r="H117" s="68"/>
      <c r="I117" s="69"/>
      <c r="J117" s="70"/>
      <c r="K117" s="70"/>
      <c r="L117" s="68"/>
      <c r="M117" s="69"/>
    </row>
    <row r="118" spans="1:13">
      <c r="A118" s="102"/>
      <c r="B118" s="104"/>
      <c r="C118" s="106"/>
      <c r="D118" s="57">
        <v>0</v>
      </c>
      <c r="E118" s="65">
        <v>64</v>
      </c>
      <c r="F118" s="66">
        <v>72</v>
      </c>
      <c r="G118" s="67">
        <f t="shared" si="3"/>
        <v>114</v>
      </c>
      <c r="H118" s="68"/>
      <c r="I118" s="69"/>
      <c r="J118" s="70"/>
      <c r="K118" s="70"/>
      <c r="L118" s="68"/>
      <c r="M118" s="69"/>
    </row>
    <row r="119" spans="1:13">
      <c r="A119" s="102"/>
      <c r="B119" s="104"/>
      <c r="C119" s="106"/>
      <c r="D119" s="57">
        <v>0</v>
      </c>
      <c r="E119" s="65">
        <v>32</v>
      </c>
      <c r="F119" s="66">
        <v>73</v>
      </c>
      <c r="G119" s="67">
        <f t="shared" si="3"/>
        <v>115</v>
      </c>
      <c r="H119" s="68"/>
      <c r="I119" s="69"/>
      <c r="J119" s="70"/>
      <c r="K119" s="70"/>
      <c r="L119" s="68"/>
      <c r="M119" s="69"/>
    </row>
    <row r="120" spans="1:13">
      <c r="A120" s="102"/>
      <c r="B120" s="104"/>
      <c r="C120" s="106"/>
      <c r="D120" s="57">
        <v>0</v>
      </c>
      <c r="E120" s="65">
        <v>16</v>
      </c>
      <c r="F120" s="66">
        <v>74</v>
      </c>
      <c r="G120" s="67">
        <f t="shared" si="3"/>
        <v>116</v>
      </c>
      <c r="H120" s="68"/>
      <c r="I120" s="69"/>
      <c r="J120" s="70"/>
      <c r="K120" s="70"/>
      <c r="L120" s="68"/>
      <c r="M120" s="69"/>
    </row>
    <row r="121" spans="1:13">
      <c r="A121" s="102"/>
      <c r="B121" s="104"/>
      <c r="C121" s="106"/>
      <c r="D121" s="57">
        <v>0</v>
      </c>
      <c r="E121" s="65">
        <v>8</v>
      </c>
      <c r="F121" s="66">
        <v>75</v>
      </c>
      <c r="G121" s="67">
        <f t="shared" si="3"/>
        <v>117</v>
      </c>
      <c r="H121" s="68"/>
      <c r="I121" s="69"/>
      <c r="J121" s="70"/>
      <c r="K121" s="70"/>
      <c r="L121" s="68"/>
      <c r="M121" s="69"/>
    </row>
    <row r="122" spans="1:13">
      <c r="A122" s="102"/>
      <c r="B122" s="104"/>
      <c r="C122" s="106"/>
      <c r="D122" s="57">
        <v>0</v>
      </c>
      <c r="E122" s="98">
        <v>4</v>
      </c>
      <c r="F122" s="66">
        <v>76</v>
      </c>
      <c r="G122" s="67">
        <f t="shared" si="3"/>
        <v>118</v>
      </c>
      <c r="H122" s="68"/>
      <c r="I122" s="69"/>
      <c r="J122" s="70"/>
      <c r="K122" s="70"/>
      <c r="L122" s="68"/>
      <c r="M122" s="69"/>
    </row>
    <row r="123" spans="1:13">
      <c r="A123" s="102"/>
      <c r="B123" s="104"/>
      <c r="C123" s="106"/>
      <c r="D123" s="57">
        <v>0</v>
      </c>
      <c r="E123" s="98">
        <v>2</v>
      </c>
      <c r="F123" s="66">
        <v>77</v>
      </c>
      <c r="G123" s="67">
        <f t="shared" si="3"/>
        <v>119</v>
      </c>
      <c r="H123" s="68"/>
      <c r="I123" s="69"/>
      <c r="J123" s="70"/>
      <c r="K123" s="70"/>
      <c r="L123" s="68"/>
      <c r="M123" s="69"/>
    </row>
    <row r="124" spans="1:13">
      <c r="A124" s="102"/>
      <c r="B124" s="104"/>
      <c r="C124" s="106"/>
      <c r="D124" s="57">
        <v>0</v>
      </c>
      <c r="E124" s="65">
        <v>1</v>
      </c>
      <c r="F124" s="66">
        <v>78</v>
      </c>
      <c r="G124" s="67">
        <f t="shared" si="3"/>
        <v>120</v>
      </c>
      <c r="H124" s="68"/>
      <c r="I124" s="69"/>
      <c r="J124" s="70"/>
      <c r="K124" s="70"/>
      <c r="L124" s="68"/>
      <c r="M124" s="86"/>
    </row>
    <row r="125" spans="1:13">
      <c r="A125" s="102" t="s">
        <v>247</v>
      </c>
      <c r="B125" s="104" t="str">
        <f>DEC2HEX(C125)</f>
        <v>0</v>
      </c>
      <c r="C125" s="106">
        <f>SUMIF(D125:D132,1,E125:E132)</f>
        <v>0</v>
      </c>
      <c r="D125" s="57">
        <v>0</v>
      </c>
      <c r="E125" s="65">
        <v>128</v>
      </c>
      <c r="F125" s="66">
        <v>79</v>
      </c>
      <c r="G125" s="67">
        <f t="shared" si="3"/>
        <v>121</v>
      </c>
      <c r="H125" s="68"/>
      <c r="I125" s="69"/>
      <c r="J125" s="70"/>
      <c r="K125" s="70"/>
      <c r="L125" s="68"/>
      <c r="M125" s="86"/>
    </row>
    <row r="126" spans="1:13">
      <c r="A126" s="102"/>
      <c r="B126" s="104"/>
      <c r="C126" s="106"/>
      <c r="D126" s="57">
        <v>0</v>
      </c>
      <c r="E126" s="65">
        <v>64</v>
      </c>
      <c r="F126" s="66" t="s">
        <v>215</v>
      </c>
      <c r="G126" s="67">
        <f t="shared" si="3"/>
        <v>122</v>
      </c>
      <c r="H126" s="68"/>
      <c r="I126" s="69"/>
      <c r="J126" s="70"/>
      <c r="K126" s="70"/>
      <c r="L126" s="68"/>
      <c r="M126" s="69"/>
    </row>
    <row r="127" spans="1:13">
      <c r="A127" s="102"/>
      <c r="B127" s="104"/>
      <c r="C127" s="106"/>
      <c r="D127" s="57">
        <v>0</v>
      </c>
      <c r="E127" s="65">
        <v>32</v>
      </c>
      <c r="F127" s="66" t="s">
        <v>217</v>
      </c>
      <c r="G127" s="67">
        <f t="shared" si="3"/>
        <v>123</v>
      </c>
      <c r="H127" s="68"/>
      <c r="I127" s="69"/>
      <c r="J127" s="70"/>
      <c r="K127" s="70"/>
      <c r="L127" s="68"/>
      <c r="M127" s="69"/>
    </row>
    <row r="128" spans="1:13">
      <c r="A128" s="102"/>
      <c r="B128" s="104"/>
      <c r="C128" s="106"/>
      <c r="D128" s="57">
        <v>0</v>
      </c>
      <c r="E128" s="65">
        <v>16</v>
      </c>
      <c r="F128" s="66" t="s">
        <v>218</v>
      </c>
      <c r="G128" s="67">
        <f t="shared" si="3"/>
        <v>124</v>
      </c>
      <c r="H128" s="68"/>
      <c r="I128" s="69"/>
      <c r="J128" s="70"/>
      <c r="K128" s="70"/>
      <c r="L128" s="68"/>
      <c r="M128" s="69"/>
    </row>
    <row r="129" spans="1:13">
      <c r="A129" s="102"/>
      <c r="B129" s="104"/>
      <c r="C129" s="106"/>
      <c r="D129" s="57">
        <v>0</v>
      </c>
      <c r="E129" s="65">
        <v>8</v>
      </c>
      <c r="F129" s="66" t="s">
        <v>220</v>
      </c>
      <c r="G129" s="67">
        <f t="shared" si="3"/>
        <v>125</v>
      </c>
      <c r="H129" s="68"/>
      <c r="I129" s="69"/>
      <c r="J129" s="70"/>
      <c r="K129" s="70"/>
      <c r="L129" s="68"/>
      <c r="M129" s="69"/>
    </row>
    <row r="130" spans="1:13">
      <c r="A130" s="102"/>
      <c r="B130" s="104"/>
      <c r="C130" s="106"/>
      <c r="D130" s="57">
        <v>0</v>
      </c>
      <c r="E130" s="98">
        <v>4</v>
      </c>
      <c r="F130" s="66" t="s">
        <v>222</v>
      </c>
      <c r="G130" s="67">
        <f t="shared" si="3"/>
        <v>126</v>
      </c>
      <c r="H130" s="68"/>
      <c r="I130" s="69"/>
      <c r="J130" s="70"/>
      <c r="K130" s="70"/>
      <c r="L130" s="68"/>
      <c r="M130" s="69"/>
    </row>
    <row r="131" spans="1:13">
      <c r="A131" s="102"/>
      <c r="B131" s="104"/>
      <c r="C131" s="106"/>
      <c r="D131" s="57">
        <v>0</v>
      </c>
      <c r="E131" s="98">
        <v>2</v>
      </c>
      <c r="F131" s="66" t="s">
        <v>224</v>
      </c>
      <c r="G131" s="67">
        <f t="shared" si="3"/>
        <v>127</v>
      </c>
      <c r="H131" s="68"/>
      <c r="I131" s="69"/>
      <c r="J131" s="70"/>
      <c r="K131" s="70"/>
      <c r="L131" s="68"/>
      <c r="M131" s="69"/>
    </row>
    <row r="132" spans="1:13" ht="16" thickBot="1">
      <c r="A132" s="103"/>
      <c r="B132" s="105"/>
      <c r="C132" s="107"/>
      <c r="D132" s="57">
        <v>0</v>
      </c>
      <c r="E132" s="65">
        <v>1</v>
      </c>
      <c r="F132" s="66">
        <v>80</v>
      </c>
      <c r="G132" s="67">
        <f t="shared" si="3"/>
        <v>128</v>
      </c>
      <c r="H132" s="68"/>
      <c r="I132" s="69"/>
      <c r="J132" s="70"/>
      <c r="K132" s="70"/>
      <c r="L132" s="68"/>
      <c r="M132" s="86"/>
    </row>
    <row r="133" spans="1:13">
      <c r="A133" s="108" t="s">
        <v>244</v>
      </c>
      <c r="B133" s="109" t="str">
        <f>DEC2HEX(C133)</f>
        <v>0</v>
      </c>
      <c r="C133" s="110">
        <f>SUMIF(D133:D140,1,E133:E140)</f>
        <v>0</v>
      </c>
      <c r="D133" s="57">
        <v>0</v>
      </c>
      <c r="E133" s="65">
        <v>128</v>
      </c>
      <c r="F133" s="66">
        <v>81</v>
      </c>
      <c r="G133" s="67">
        <f t="shared" si="3"/>
        <v>129</v>
      </c>
      <c r="H133" s="68"/>
      <c r="I133" s="69"/>
      <c r="J133" s="70"/>
      <c r="K133" s="70"/>
      <c r="L133" s="68"/>
      <c r="M133" s="69"/>
    </row>
    <row r="134" spans="1:13">
      <c r="A134" s="102"/>
      <c r="B134" s="104"/>
      <c r="C134" s="106"/>
      <c r="D134" s="57">
        <v>0</v>
      </c>
      <c r="E134" s="65">
        <v>64</v>
      </c>
      <c r="F134" s="66">
        <v>82</v>
      </c>
      <c r="G134" s="67">
        <f t="shared" si="3"/>
        <v>130</v>
      </c>
      <c r="H134" s="68"/>
      <c r="I134" s="69"/>
      <c r="J134" s="70"/>
      <c r="K134" s="70"/>
      <c r="L134" s="68"/>
      <c r="M134" s="69"/>
    </row>
    <row r="135" spans="1:13">
      <c r="A135" s="102"/>
      <c r="B135" s="104"/>
      <c r="C135" s="106"/>
      <c r="D135" s="57">
        <v>0</v>
      </c>
      <c r="E135" s="65">
        <v>32</v>
      </c>
      <c r="F135" s="66">
        <v>83</v>
      </c>
      <c r="G135" s="67">
        <f t="shared" si="3"/>
        <v>131</v>
      </c>
      <c r="H135" s="68"/>
      <c r="I135" s="69"/>
      <c r="J135" s="70"/>
      <c r="K135" s="70"/>
      <c r="L135" s="68"/>
      <c r="M135" s="69"/>
    </row>
    <row r="136" spans="1:13">
      <c r="A136" s="102"/>
      <c r="B136" s="104"/>
      <c r="C136" s="106"/>
      <c r="D136" s="57">
        <v>0</v>
      </c>
      <c r="E136" s="65">
        <v>16</v>
      </c>
      <c r="F136" s="66">
        <v>84</v>
      </c>
      <c r="G136" s="67">
        <f t="shared" si="3"/>
        <v>132</v>
      </c>
      <c r="H136" s="68"/>
      <c r="I136" s="69"/>
      <c r="J136" s="70"/>
      <c r="K136" s="70"/>
      <c r="L136" s="68"/>
      <c r="M136" s="69"/>
    </row>
    <row r="137" spans="1:13">
      <c r="A137" s="102"/>
      <c r="B137" s="104"/>
      <c r="C137" s="106"/>
      <c r="D137" s="57">
        <v>0</v>
      </c>
      <c r="E137" s="65">
        <v>8</v>
      </c>
      <c r="F137" s="66">
        <v>85</v>
      </c>
      <c r="G137" s="67">
        <f t="shared" si="3"/>
        <v>133</v>
      </c>
      <c r="H137" s="68"/>
      <c r="I137" s="69"/>
      <c r="J137" s="70"/>
      <c r="K137" s="70"/>
      <c r="L137" s="68"/>
      <c r="M137" s="69"/>
    </row>
    <row r="138" spans="1:13">
      <c r="A138" s="102"/>
      <c r="B138" s="104"/>
      <c r="C138" s="106"/>
      <c r="D138" s="57">
        <v>0</v>
      </c>
      <c r="E138" s="98">
        <v>4</v>
      </c>
      <c r="F138" s="66">
        <v>86</v>
      </c>
      <c r="G138" s="67">
        <f t="shared" si="3"/>
        <v>134</v>
      </c>
      <c r="H138" s="68"/>
      <c r="I138" s="69"/>
      <c r="J138" s="70"/>
      <c r="K138" s="70"/>
      <c r="L138" s="68"/>
      <c r="M138" s="69"/>
    </row>
    <row r="139" spans="1:13">
      <c r="A139" s="102"/>
      <c r="B139" s="104"/>
      <c r="C139" s="106"/>
      <c r="D139" s="57">
        <v>0</v>
      </c>
      <c r="E139" s="98">
        <v>2</v>
      </c>
      <c r="F139" s="66">
        <v>87</v>
      </c>
      <c r="G139" s="67">
        <f t="shared" si="3"/>
        <v>135</v>
      </c>
      <c r="H139" s="68"/>
      <c r="I139" s="69"/>
      <c r="J139" s="70"/>
      <c r="K139" s="70"/>
      <c r="L139" s="68"/>
      <c r="M139" s="69"/>
    </row>
    <row r="140" spans="1:13">
      <c r="A140" s="102"/>
      <c r="B140" s="104"/>
      <c r="C140" s="106"/>
      <c r="D140" s="57">
        <v>0</v>
      </c>
      <c r="E140" s="98">
        <v>1</v>
      </c>
      <c r="F140" s="66">
        <v>88</v>
      </c>
      <c r="G140" s="67">
        <f t="shared" si="3"/>
        <v>136</v>
      </c>
      <c r="H140" s="68"/>
      <c r="I140" s="69"/>
      <c r="J140" s="70"/>
      <c r="K140" s="70"/>
      <c r="L140" s="68"/>
      <c r="M140" s="69"/>
    </row>
    <row r="141" spans="1:13">
      <c r="A141" s="102" t="s">
        <v>245</v>
      </c>
      <c r="B141" s="104" t="str">
        <f>DEC2HEX(C141)</f>
        <v>0</v>
      </c>
      <c r="C141" s="106">
        <f>SUMIF(D141:D148,1,E141:E148)</f>
        <v>0</v>
      </c>
      <c r="D141" s="57">
        <v>0</v>
      </c>
      <c r="E141" s="65">
        <v>128</v>
      </c>
      <c r="F141" s="66">
        <v>89</v>
      </c>
      <c r="G141" s="67">
        <f t="shared" si="3"/>
        <v>137</v>
      </c>
      <c r="H141" s="68"/>
      <c r="I141" s="69"/>
      <c r="J141" s="70"/>
      <c r="K141" s="70"/>
      <c r="L141" s="68"/>
      <c r="M141" s="69"/>
    </row>
    <row r="142" spans="1:13">
      <c r="A142" s="102"/>
      <c r="B142" s="104"/>
      <c r="C142" s="106"/>
      <c r="D142" s="57">
        <v>0</v>
      </c>
      <c r="E142" s="65">
        <v>64</v>
      </c>
      <c r="F142" s="66" t="s">
        <v>294</v>
      </c>
      <c r="G142" s="67">
        <f t="shared" si="3"/>
        <v>138</v>
      </c>
      <c r="H142" s="68"/>
      <c r="I142" s="69"/>
      <c r="J142" s="70"/>
      <c r="K142" s="70"/>
      <c r="L142" s="68"/>
      <c r="M142" s="69"/>
    </row>
    <row r="143" spans="1:13">
      <c r="A143" s="102"/>
      <c r="B143" s="104"/>
      <c r="C143" s="106"/>
      <c r="D143" s="57">
        <v>0</v>
      </c>
      <c r="E143" s="65">
        <v>32</v>
      </c>
      <c r="F143" s="66" t="s">
        <v>295</v>
      </c>
      <c r="G143" s="67">
        <f t="shared" si="3"/>
        <v>139</v>
      </c>
      <c r="H143" s="68"/>
      <c r="I143" s="69"/>
      <c r="J143" s="70"/>
      <c r="K143" s="70"/>
      <c r="L143" s="68"/>
      <c r="M143" s="69"/>
    </row>
    <row r="144" spans="1:13">
      <c r="A144" s="102"/>
      <c r="B144" s="104"/>
      <c r="C144" s="106"/>
      <c r="D144" s="57">
        <v>0</v>
      </c>
      <c r="E144" s="65">
        <v>16</v>
      </c>
      <c r="F144" s="66" t="s">
        <v>296</v>
      </c>
      <c r="G144" s="67">
        <f t="shared" si="3"/>
        <v>140</v>
      </c>
      <c r="H144" s="68"/>
      <c r="I144" s="69"/>
      <c r="J144" s="70"/>
      <c r="K144" s="70"/>
      <c r="L144" s="68"/>
      <c r="M144" s="69"/>
    </row>
    <row r="145" spans="1:13">
      <c r="A145" s="102"/>
      <c r="B145" s="104"/>
      <c r="C145" s="106"/>
      <c r="D145" s="57">
        <v>0</v>
      </c>
      <c r="E145" s="65">
        <v>8</v>
      </c>
      <c r="F145" s="66" t="s">
        <v>297</v>
      </c>
      <c r="G145" s="67">
        <f t="shared" si="3"/>
        <v>141</v>
      </c>
      <c r="H145" s="68"/>
      <c r="I145" s="69"/>
      <c r="J145" s="70"/>
      <c r="K145" s="70"/>
      <c r="L145" s="68"/>
      <c r="M145" s="69"/>
    </row>
    <row r="146" spans="1:13">
      <c r="A146" s="102"/>
      <c r="B146" s="104"/>
      <c r="C146" s="106"/>
      <c r="D146" s="57">
        <v>0</v>
      </c>
      <c r="E146" s="98">
        <v>4</v>
      </c>
      <c r="F146" s="66" t="s">
        <v>298</v>
      </c>
      <c r="G146" s="67">
        <f t="shared" si="3"/>
        <v>142</v>
      </c>
      <c r="H146" s="68"/>
      <c r="I146" s="69"/>
      <c r="J146" s="70"/>
      <c r="K146" s="70"/>
      <c r="L146" s="68"/>
      <c r="M146" s="69"/>
    </row>
    <row r="147" spans="1:13">
      <c r="A147" s="102"/>
      <c r="B147" s="104"/>
      <c r="C147" s="106"/>
      <c r="D147" s="57">
        <v>0</v>
      </c>
      <c r="E147" s="98">
        <v>2</v>
      </c>
      <c r="F147" s="66" t="s">
        <v>299</v>
      </c>
      <c r="G147" s="67">
        <f t="shared" si="3"/>
        <v>143</v>
      </c>
      <c r="H147" s="68"/>
      <c r="I147" s="69"/>
      <c r="J147" s="70"/>
      <c r="K147" s="70"/>
      <c r="L147" s="68"/>
      <c r="M147" s="69"/>
    </row>
    <row r="148" spans="1:13">
      <c r="A148" s="102"/>
      <c r="B148" s="104"/>
      <c r="C148" s="106"/>
      <c r="D148" s="57">
        <v>0</v>
      </c>
      <c r="E148" s="98">
        <v>1</v>
      </c>
      <c r="F148" s="66">
        <v>90</v>
      </c>
      <c r="G148" s="67">
        <f t="shared" si="3"/>
        <v>144</v>
      </c>
      <c r="H148" s="68"/>
      <c r="I148" s="69"/>
      <c r="J148" s="70"/>
      <c r="K148" s="70"/>
      <c r="L148" s="68"/>
      <c r="M148" s="69"/>
    </row>
    <row r="149" spans="1:13">
      <c r="A149" s="102" t="s">
        <v>246</v>
      </c>
      <c r="B149" s="104" t="str">
        <f>DEC2HEX(C149)</f>
        <v>0</v>
      </c>
      <c r="C149" s="106">
        <f>SUMIF(D149:D156,1,E149:E156)</f>
        <v>0</v>
      </c>
      <c r="D149" s="57">
        <v>0</v>
      </c>
      <c r="E149" s="65">
        <v>128</v>
      </c>
      <c r="F149" s="66">
        <v>91</v>
      </c>
      <c r="G149" s="67">
        <f t="shared" si="3"/>
        <v>145</v>
      </c>
      <c r="H149" s="68"/>
      <c r="I149" s="69"/>
      <c r="J149" s="70"/>
      <c r="K149" s="70"/>
      <c r="L149" s="68"/>
      <c r="M149" s="69"/>
    </row>
    <row r="150" spans="1:13">
      <c r="A150" s="102"/>
      <c r="B150" s="104"/>
      <c r="C150" s="106"/>
      <c r="D150" s="57">
        <v>0</v>
      </c>
      <c r="E150" s="65">
        <v>64</v>
      </c>
      <c r="F150" s="66">
        <v>92</v>
      </c>
      <c r="G150" s="67">
        <f t="shared" si="3"/>
        <v>146</v>
      </c>
      <c r="H150" s="68"/>
      <c r="I150" s="69"/>
      <c r="J150" s="70"/>
      <c r="K150" s="70"/>
      <c r="L150" s="68"/>
      <c r="M150" s="69"/>
    </row>
    <row r="151" spans="1:13">
      <c r="A151" s="102"/>
      <c r="B151" s="104"/>
      <c r="C151" s="106"/>
      <c r="D151" s="57">
        <v>0</v>
      </c>
      <c r="E151" s="65">
        <v>32</v>
      </c>
      <c r="F151" s="66">
        <v>93</v>
      </c>
      <c r="G151" s="67">
        <f t="shared" si="3"/>
        <v>147</v>
      </c>
      <c r="H151" s="68"/>
      <c r="I151" s="69"/>
      <c r="J151" s="70"/>
      <c r="K151" s="70"/>
      <c r="L151" s="68"/>
      <c r="M151" s="69"/>
    </row>
    <row r="152" spans="1:13">
      <c r="A152" s="102"/>
      <c r="B152" s="104"/>
      <c r="C152" s="106"/>
      <c r="D152" s="57">
        <v>0</v>
      </c>
      <c r="E152" s="65">
        <v>16</v>
      </c>
      <c r="F152" s="66">
        <v>94</v>
      </c>
      <c r="G152" s="67">
        <f t="shared" si="3"/>
        <v>148</v>
      </c>
      <c r="H152" s="68"/>
      <c r="I152" s="69"/>
      <c r="J152" s="70"/>
      <c r="K152" s="70"/>
      <c r="L152" s="68"/>
      <c r="M152" s="69"/>
    </row>
    <row r="153" spans="1:13">
      <c r="A153" s="102"/>
      <c r="B153" s="104"/>
      <c r="C153" s="106"/>
      <c r="D153" s="57">
        <v>0</v>
      </c>
      <c r="E153" s="65">
        <v>8</v>
      </c>
      <c r="F153" s="66">
        <v>95</v>
      </c>
      <c r="G153" s="67">
        <f t="shared" si="3"/>
        <v>149</v>
      </c>
      <c r="H153" s="68"/>
      <c r="I153" s="69"/>
      <c r="J153" s="70"/>
      <c r="K153" s="70"/>
      <c r="L153" s="68"/>
      <c r="M153" s="69"/>
    </row>
    <row r="154" spans="1:13">
      <c r="A154" s="102"/>
      <c r="B154" s="104"/>
      <c r="C154" s="106"/>
      <c r="D154" s="57">
        <v>0</v>
      </c>
      <c r="E154" s="98">
        <v>4</v>
      </c>
      <c r="F154" s="66">
        <v>96</v>
      </c>
      <c r="G154" s="67">
        <f t="shared" si="3"/>
        <v>150</v>
      </c>
      <c r="H154" s="68"/>
      <c r="I154" s="69"/>
      <c r="J154" s="70"/>
      <c r="K154" s="70"/>
      <c r="L154" s="68"/>
      <c r="M154" s="69"/>
    </row>
    <row r="155" spans="1:13">
      <c r="A155" s="102"/>
      <c r="B155" s="104"/>
      <c r="C155" s="106"/>
      <c r="D155" s="57">
        <v>0</v>
      </c>
      <c r="E155" s="98">
        <v>2</v>
      </c>
      <c r="F155" s="66">
        <v>97</v>
      </c>
      <c r="G155" s="67">
        <f t="shared" si="3"/>
        <v>151</v>
      </c>
      <c r="H155" s="68"/>
      <c r="I155" s="69"/>
      <c r="J155" s="70"/>
      <c r="K155" s="70"/>
      <c r="L155" s="68"/>
      <c r="M155" s="69"/>
    </row>
    <row r="156" spans="1:13">
      <c r="A156" s="102"/>
      <c r="B156" s="104"/>
      <c r="C156" s="106"/>
      <c r="D156" s="57">
        <v>0</v>
      </c>
      <c r="E156" s="98">
        <v>1</v>
      </c>
      <c r="F156" s="66">
        <v>98</v>
      </c>
      <c r="G156" s="67">
        <f t="shared" si="3"/>
        <v>152</v>
      </c>
      <c r="H156" s="68"/>
      <c r="I156" s="69"/>
      <c r="J156" s="70"/>
      <c r="K156" s="70"/>
      <c r="L156" s="68"/>
      <c r="M156" s="69"/>
    </row>
    <row r="157" spans="1:13">
      <c r="A157" s="102" t="s">
        <v>247</v>
      </c>
      <c r="B157" s="104" t="str">
        <f>DEC2HEX(C157)</f>
        <v>0</v>
      </c>
      <c r="C157" s="106">
        <f>SUMIF(D157:D164,1,E157:E164)</f>
        <v>0</v>
      </c>
      <c r="D157" s="57">
        <v>0</v>
      </c>
      <c r="E157" s="65">
        <v>128</v>
      </c>
      <c r="F157" s="66">
        <v>99</v>
      </c>
      <c r="G157" s="67">
        <f t="shared" si="3"/>
        <v>153</v>
      </c>
      <c r="H157" s="68"/>
      <c r="I157" s="69"/>
      <c r="J157" s="70"/>
      <c r="K157" s="70"/>
      <c r="L157" s="68"/>
      <c r="M157" s="69"/>
    </row>
    <row r="158" spans="1:13">
      <c r="A158" s="102"/>
      <c r="B158" s="104"/>
      <c r="C158" s="106"/>
      <c r="D158" s="57">
        <v>0</v>
      </c>
      <c r="E158" s="65">
        <v>64</v>
      </c>
      <c r="F158" s="66" t="s">
        <v>300</v>
      </c>
      <c r="G158" s="67">
        <f t="shared" si="3"/>
        <v>154</v>
      </c>
      <c r="H158" s="68"/>
      <c r="I158" s="69"/>
      <c r="J158" s="70"/>
      <c r="K158" s="70"/>
      <c r="L158" s="68"/>
      <c r="M158" s="69"/>
    </row>
    <row r="159" spans="1:13">
      <c r="A159" s="102"/>
      <c r="B159" s="104"/>
      <c r="C159" s="106"/>
      <c r="D159" s="57">
        <v>0</v>
      </c>
      <c r="E159" s="65">
        <v>32</v>
      </c>
      <c r="F159" s="66" t="s">
        <v>301</v>
      </c>
      <c r="G159" s="67">
        <f t="shared" si="3"/>
        <v>155</v>
      </c>
      <c r="H159" s="68"/>
      <c r="I159" s="69"/>
      <c r="J159" s="70"/>
      <c r="K159" s="70"/>
      <c r="L159" s="68"/>
      <c r="M159" s="69"/>
    </row>
    <row r="160" spans="1:13">
      <c r="A160" s="102"/>
      <c r="B160" s="104"/>
      <c r="C160" s="106"/>
      <c r="D160" s="57">
        <v>0</v>
      </c>
      <c r="E160" s="65">
        <v>16</v>
      </c>
      <c r="F160" s="66" t="s">
        <v>302</v>
      </c>
      <c r="G160" s="67">
        <f t="shared" si="3"/>
        <v>156</v>
      </c>
      <c r="H160" s="68"/>
      <c r="I160" s="69"/>
      <c r="J160" s="70"/>
      <c r="K160" s="70"/>
      <c r="L160" s="68"/>
      <c r="M160" s="69"/>
    </row>
    <row r="161" spans="1:13">
      <c r="A161" s="102"/>
      <c r="B161" s="104"/>
      <c r="C161" s="106"/>
      <c r="D161" s="57">
        <v>0</v>
      </c>
      <c r="E161" s="65">
        <v>8</v>
      </c>
      <c r="F161" s="66" t="s">
        <v>303</v>
      </c>
      <c r="G161" s="67">
        <f t="shared" si="3"/>
        <v>157</v>
      </c>
      <c r="H161" s="68"/>
      <c r="I161" s="69"/>
      <c r="J161" s="70"/>
      <c r="K161" s="70"/>
      <c r="L161" s="68"/>
      <c r="M161" s="69"/>
    </row>
    <row r="162" spans="1:13">
      <c r="A162" s="102"/>
      <c r="B162" s="104"/>
      <c r="C162" s="106"/>
      <c r="D162" s="57">
        <v>0</v>
      </c>
      <c r="E162" s="98">
        <v>4</v>
      </c>
      <c r="F162" s="66" t="s">
        <v>304</v>
      </c>
      <c r="G162" s="67">
        <f t="shared" si="3"/>
        <v>158</v>
      </c>
      <c r="H162" s="68"/>
      <c r="I162" s="69"/>
      <c r="J162" s="70"/>
      <c r="K162" s="70"/>
      <c r="L162" s="68"/>
      <c r="M162" s="69"/>
    </row>
    <row r="163" spans="1:13">
      <c r="A163" s="102"/>
      <c r="B163" s="104"/>
      <c r="C163" s="106"/>
      <c r="D163" s="57">
        <v>0</v>
      </c>
      <c r="E163" s="98">
        <v>2</v>
      </c>
      <c r="F163" s="66" t="s">
        <v>305</v>
      </c>
      <c r="G163" s="67">
        <f t="shared" si="3"/>
        <v>159</v>
      </c>
      <c r="H163" s="68"/>
      <c r="I163" s="69"/>
      <c r="J163" s="70"/>
      <c r="K163" s="70"/>
      <c r="L163" s="68"/>
      <c r="M163" s="69"/>
    </row>
    <row r="164" spans="1:13" ht="16" thickBot="1">
      <c r="A164" s="103"/>
      <c r="B164" s="105"/>
      <c r="C164" s="107"/>
      <c r="D164" s="57">
        <v>0</v>
      </c>
      <c r="E164" s="98">
        <v>1</v>
      </c>
      <c r="F164" s="66" t="s">
        <v>233</v>
      </c>
      <c r="G164" s="67">
        <f t="shared" si="3"/>
        <v>160</v>
      </c>
      <c r="H164" s="68"/>
      <c r="I164" s="69"/>
      <c r="J164" s="70"/>
      <c r="K164" s="70"/>
      <c r="L164" s="68"/>
      <c r="M164" s="86"/>
    </row>
    <row r="165" spans="1:13">
      <c r="A165" s="108" t="s">
        <v>244</v>
      </c>
      <c r="B165" s="109" t="str">
        <f>DEC2HEX(C165)</f>
        <v>0</v>
      </c>
      <c r="C165" s="110">
        <f>SUMIF(D165:D172,1,E165:E172)</f>
        <v>0</v>
      </c>
      <c r="D165" s="57">
        <v>0</v>
      </c>
      <c r="E165" s="65">
        <v>128</v>
      </c>
      <c r="F165" s="66" t="s">
        <v>306</v>
      </c>
      <c r="G165" s="67">
        <f t="shared" si="3"/>
        <v>161</v>
      </c>
      <c r="H165" s="68"/>
      <c r="I165" s="69"/>
      <c r="J165" s="70"/>
      <c r="K165" s="70"/>
      <c r="L165" s="68"/>
      <c r="M165" s="69"/>
    </row>
    <row r="166" spans="1:13">
      <c r="A166" s="102"/>
      <c r="B166" s="104"/>
      <c r="C166" s="106"/>
      <c r="D166" s="57">
        <v>0</v>
      </c>
      <c r="E166" s="65">
        <v>64</v>
      </c>
      <c r="F166" s="66" t="s">
        <v>307</v>
      </c>
      <c r="G166" s="67">
        <f t="shared" si="3"/>
        <v>162</v>
      </c>
      <c r="H166" s="68"/>
      <c r="I166" s="69"/>
      <c r="J166" s="70"/>
      <c r="K166" s="70"/>
      <c r="L166" s="68"/>
      <c r="M166" s="69"/>
    </row>
    <row r="167" spans="1:13">
      <c r="A167" s="102"/>
      <c r="B167" s="104"/>
      <c r="C167" s="106"/>
      <c r="D167" s="57">
        <v>0</v>
      </c>
      <c r="E167" s="65">
        <v>32</v>
      </c>
      <c r="F167" s="66" t="s">
        <v>308</v>
      </c>
      <c r="G167" s="67">
        <f t="shared" si="3"/>
        <v>163</v>
      </c>
      <c r="H167" s="68"/>
      <c r="I167" s="69"/>
      <c r="J167" s="70"/>
      <c r="K167" s="70"/>
      <c r="L167" s="68"/>
      <c r="M167" s="69"/>
    </row>
    <row r="168" spans="1:13">
      <c r="A168" s="102"/>
      <c r="B168" s="104"/>
      <c r="C168" s="106"/>
      <c r="D168" s="57">
        <v>0</v>
      </c>
      <c r="E168" s="65">
        <v>16</v>
      </c>
      <c r="F168" s="66" t="s">
        <v>309</v>
      </c>
      <c r="G168" s="67">
        <f t="shared" si="3"/>
        <v>164</v>
      </c>
      <c r="H168" s="68"/>
      <c r="I168" s="69"/>
      <c r="J168" s="70"/>
      <c r="K168" s="70"/>
      <c r="L168" s="68"/>
      <c r="M168" s="69"/>
    </row>
    <row r="169" spans="1:13">
      <c r="A169" s="102"/>
      <c r="B169" s="104"/>
      <c r="C169" s="106"/>
      <c r="D169" s="57">
        <v>0</v>
      </c>
      <c r="E169" s="65">
        <v>8</v>
      </c>
      <c r="F169" s="66" t="s">
        <v>310</v>
      </c>
      <c r="G169" s="67">
        <f t="shared" si="3"/>
        <v>165</v>
      </c>
      <c r="H169" s="68"/>
      <c r="I169" s="69"/>
      <c r="J169" s="70"/>
      <c r="K169" s="70"/>
      <c r="L169" s="68"/>
      <c r="M169" s="69"/>
    </row>
    <row r="170" spans="1:13">
      <c r="A170" s="102"/>
      <c r="B170" s="104"/>
      <c r="C170" s="106"/>
      <c r="D170" s="57">
        <v>0</v>
      </c>
      <c r="E170" s="98">
        <v>4</v>
      </c>
      <c r="F170" s="66" t="s">
        <v>311</v>
      </c>
      <c r="G170" s="67">
        <f t="shared" si="3"/>
        <v>166</v>
      </c>
      <c r="H170" s="68"/>
      <c r="I170" s="69"/>
      <c r="J170" s="70"/>
      <c r="K170" s="70"/>
      <c r="L170" s="68"/>
      <c r="M170" s="69"/>
    </row>
    <row r="171" spans="1:13">
      <c r="A171" s="102"/>
      <c r="B171" s="104"/>
      <c r="C171" s="106"/>
      <c r="D171" s="57">
        <v>0</v>
      </c>
      <c r="E171" s="98">
        <v>2</v>
      </c>
      <c r="F171" s="66" t="s">
        <v>312</v>
      </c>
      <c r="G171" s="67">
        <f t="shared" si="3"/>
        <v>167</v>
      </c>
      <c r="H171" s="68"/>
      <c r="I171" s="69"/>
      <c r="J171" s="70"/>
      <c r="K171" s="70"/>
      <c r="L171" s="68"/>
      <c r="M171" s="69"/>
    </row>
    <row r="172" spans="1:13">
      <c r="A172" s="102"/>
      <c r="B172" s="104"/>
      <c r="C172" s="106"/>
      <c r="D172" s="57">
        <v>0</v>
      </c>
      <c r="E172" s="98">
        <v>1</v>
      </c>
      <c r="F172" s="66" t="s">
        <v>313</v>
      </c>
      <c r="G172" s="67">
        <f t="shared" si="3"/>
        <v>168</v>
      </c>
      <c r="H172" s="68"/>
      <c r="I172" s="69"/>
      <c r="J172" s="70"/>
      <c r="K172" s="70"/>
      <c r="L172" s="68"/>
      <c r="M172" s="86"/>
    </row>
    <row r="173" spans="1:13">
      <c r="A173" s="102" t="s">
        <v>245</v>
      </c>
      <c r="B173" s="104" t="str">
        <f>DEC2HEX(C173)</f>
        <v>0</v>
      </c>
      <c r="C173" s="106">
        <f>SUMIF(D173:D180,1,E173:E180)</f>
        <v>0</v>
      </c>
      <c r="D173" s="57">
        <v>0</v>
      </c>
      <c r="E173" s="98">
        <v>128</v>
      </c>
      <c r="F173" s="66" t="s">
        <v>314</v>
      </c>
      <c r="G173" s="67">
        <f t="shared" si="3"/>
        <v>169</v>
      </c>
      <c r="H173" s="68"/>
      <c r="I173" s="69"/>
      <c r="J173" s="70"/>
      <c r="K173" s="70"/>
      <c r="L173" s="68"/>
      <c r="M173" s="86"/>
    </row>
    <row r="174" spans="1:13">
      <c r="A174" s="102"/>
      <c r="B174" s="104"/>
      <c r="C174" s="106"/>
      <c r="D174" s="57">
        <v>0</v>
      </c>
      <c r="E174" s="65">
        <v>64</v>
      </c>
      <c r="F174" s="66" t="s">
        <v>315</v>
      </c>
      <c r="G174" s="67">
        <f t="shared" si="3"/>
        <v>170</v>
      </c>
      <c r="H174" s="68"/>
      <c r="I174" s="69"/>
      <c r="J174" s="70"/>
      <c r="K174" s="70"/>
      <c r="L174" s="68"/>
      <c r="M174" s="69"/>
    </row>
    <row r="175" spans="1:13">
      <c r="A175" s="102"/>
      <c r="B175" s="104"/>
      <c r="C175" s="106"/>
      <c r="D175" s="57">
        <v>0</v>
      </c>
      <c r="E175" s="65">
        <v>32</v>
      </c>
      <c r="F175" s="66" t="s">
        <v>316</v>
      </c>
      <c r="G175" s="67">
        <f t="shared" si="3"/>
        <v>171</v>
      </c>
      <c r="H175" s="68"/>
      <c r="I175" s="69"/>
      <c r="J175" s="70"/>
      <c r="K175" s="70"/>
      <c r="L175" s="68"/>
      <c r="M175" s="69"/>
    </row>
    <row r="176" spans="1:13">
      <c r="A176" s="102"/>
      <c r="B176" s="104"/>
      <c r="C176" s="106"/>
      <c r="D176" s="57">
        <v>0</v>
      </c>
      <c r="E176" s="65">
        <v>16</v>
      </c>
      <c r="F176" s="66" t="s">
        <v>317</v>
      </c>
      <c r="G176" s="67">
        <f t="shared" si="3"/>
        <v>172</v>
      </c>
      <c r="H176" s="68"/>
      <c r="I176" s="69"/>
      <c r="J176" s="70"/>
      <c r="K176" s="70"/>
      <c r="L176" s="68"/>
      <c r="M176" s="69"/>
    </row>
    <row r="177" spans="1:13">
      <c r="A177" s="102"/>
      <c r="B177" s="104"/>
      <c r="C177" s="106"/>
      <c r="D177" s="57">
        <v>0</v>
      </c>
      <c r="E177" s="65">
        <v>8</v>
      </c>
      <c r="F177" s="66" t="s">
        <v>318</v>
      </c>
      <c r="G177" s="67">
        <f t="shared" si="3"/>
        <v>173</v>
      </c>
      <c r="H177" s="68"/>
      <c r="I177" s="69"/>
      <c r="J177" s="70"/>
      <c r="K177" s="70"/>
      <c r="L177" s="68"/>
      <c r="M177" s="69"/>
    </row>
    <row r="178" spans="1:13">
      <c r="A178" s="102"/>
      <c r="B178" s="104"/>
      <c r="C178" s="106"/>
      <c r="D178" s="57">
        <v>0</v>
      </c>
      <c r="E178" s="98">
        <v>4</v>
      </c>
      <c r="F178" s="66" t="s">
        <v>319</v>
      </c>
      <c r="G178" s="67">
        <f t="shared" si="3"/>
        <v>174</v>
      </c>
      <c r="H178" s="68"/>
      <c r="I178" s="69"/>
      <c r="J178" s="70"/>
      <c r="K178" s="70"/>
      <c r="L178" s="68"/>
      <c r="M178" s="69"/>
    </row>
    <row r="179" spans="1:13">
      <c r="A179" s="102"/>
      <c r="B179" s="104"/>
      <c r="C179" s="106"/>
      <c r="D179" s="57">
        <v>0</v>
      </c>
      <c r="E179" s="98">
        <v>2</v>
      </c>
      <c r="F179" s="66" t="s">
        <v>320</v>
      </c>
      <c r="G179" s="67">
        <f t="shared" si="3"/>
        <v>175</v>
      </c>
      <c r="H179" s="68"/>
      <c r="I179" s="69"/>
      <c r="J179" s="70"/>
      <c r="K179" s="70"/>
      <c r="L179" s="68"/>
      <c r="M179" s="69"/>
    </row>
    <row r="180" spans="1:13">
      <c r="A180" s="102"/>
      <c r="B180" s="104"/>
      <c r="C180" s="106"/>
      <c r="D180" s="57">
        <v>0</v>
      </c>
      <c r="E180" s="98">
        <v>1</v>
      </c>
      <c r="F180" s="66" t="s">
        <v>321</v>
      </c>
      <c r="G180" s="67">
        <f t="shared" si="3"/>
        <v>176</v>
      </c>
      <c r="H180" s="68"/>
      <c r="I180" s="69"/>
      <c r="J180" s="70"/>
      <c r="K180" s="70"/>
      <c r="L180" s="68"/>
      <c r="M180" s="69"/>
    </row>
    <row r="181" spans="1:13">
      <c r="A181" s="102" t="s">
        <v>246</v>
      </c>
      <c r="B181" s="104" t="str">
        <f>DEC2HEX(C181)</f>
        <v>0</v>
      </c>
      <c r="C181" s="106">
        <f>SUMIF(D181:D188,1,E181:E188)</f>
        <v>0</v>
      </c>
      <c r="D181" s="57">
        <v>0</v>
      </c>
      <c r="E181" s="98">
        <v>128</v>
      </c>
      <c r="F181" s="66" t="s">
        <v>322</v>
      </c>
      <c r="G181" s="67">
        <f t="shared" si="3"/>
        <v>177</v>
      </c>
      <c r="H181" s="68"/>
      <c r="I181" s="69"/>
      <c r="J181" s="70"/>
      <c r="K181" s="70"/>
      <c r="L181" s="68"/>
      <c r="M181" s="86"/>
    </row>
    <row r="182" spans="1:13">
      <c r="A182" s="102"/>
      <c r="B182" s="104"/>
      <c r="C182" s="106"/>
      <c r="D182" s="57">
        <v>0</v>
      </c>
      <c r="E182" s="65">
        <v>64</v>
      </c>
      <c r="F182" s="66" t="s">
        <v>323</v>
      </c>
      <c r="G182" s="67">
        <f t="shared" si="3"/>
        <v>178</v>
      </c>
      <c r="H182" s="68"/>
      <c r="I182" s="69"/>
      <c r="J182" s="70"/>
      <c r="K182" s="70"/>
      <c r="L182" s="68"/>
      <c r="M182" s="69"/>
    </row>
    <row r="183" spans="1:13">
      <c r="A183" s="102"/>
      <c r="B183" s="104"/>
      <c r="C183" s="106"/>
      <c r="D183" s="57">
        <v>0</v>
      </c>
      <c r="E183" s="65">
        <v>32</v>
      </c>
      <c r="F183" s="66" t="s">
        <v>324</v>
      </c>
      <c r="G183" s="67">
        <f t="shared" si="3"/>
        <v>179</v>
      </c>
      <c r="H183" s="68"/>
      <c r="I183" s="69"/>
      <c r="J183" s="70"/>
      <c r="K183" s="70"/>
      <c r="L183" s="68"/>
      <c r="M183" s="69"/>
    </row>
    <row r="184" spans="1:13">
      <c r="A184" s="102"/>
      <c r="B184" s="104"/>
      <c r="C184" s="106"/>
      <c r="D184" s="57">
        <v>0</v>
      </c>
      <c r="E184" s="65">
        <v>16</v>
      </c>
      <c r="F184" s="66" t="s">
        <v>325</v>
      </c>
      <c r="G184" s="67">
        <f t="shared" si="3"/>
        <v>180</v>
      </c>
      <c r="H184" s="68"/>
      <c r="I184" s="69"/>
      <c r="J184" s="70"/>
      <c r="K184" s="70"/>
      <c r="L184" s="68"/>
      <c r="M184" s="69"/>
    </row>
    <row r="185" spans="1:13">
      <c r="A185" s="102"/>
      <c r="B185" s="104"/>
      <c r="C185" s="106"/>
      <c r="D185" s="57">
        <v>0</v>
      </c>
      <c r="E185" s="65">
        <v>8</v>
      </c>
      <c r="F185" s="66" t="s">
        <v>326</v>
      </c>
      <c r="G185" s="67">
        <f t="shared" si="3"/>
        <v>181</v>
      </c>
      <c r="H185" s="68"/>
      <c r="I185" s="69"/>
      <c r="J185" s="70"/>
      <c r="K185" s="70"/>
      <c r="L185" s="68"/>
      <c r="M185" s="69"/>
    </row>
    <row r="186" spans="1:13">
      <c r="A186" s="102"/>
      <c r="B186" s="104"/>
      <c r="C186" s="106"/>
      <c r="D186" s="57">
        <v>0</v>
      </c>
      <c r="E186" s="98">
        <v>4</v>
      </c>
      <c r="F186" s="66" t="s">
        <v>327</v>
      </c>
      <c r="G186" s="67">
        <f t="shared" si="3"/>
        <v>182</v>
      </c>
      <c r="H186" s="68"/>
      <c r="I186" s="69"/>
      <c r="J186" s="70"/>
      <c r="K186" s="70"/>
      <c r="L186" s="68"/>
      <c r="M186" s="69"/>
    </row>
    <row r="187" spans="1:13">
      <c r="A187" s="102"/>
      <c r="B187" s="104"/>
      <c r="C187" s="106"/>
      <c r="D187" s="57">
        <v>0</v>
      </c>
      <c r="E187" s="98">
        <v>2</v>
      </c>
      <c r="F187" s="66" t="s">
        <v>328</v>
      </c>
      <c r="G187" s="67">
        <f t="shared" si="3"/>
        <v>183</v>
      </c>
      <c r="H187" s="68"/>
      <c r="I187" s="69"/>
      <c r="J187" s="70"/>
      <c r="K187" s="70"/>
      <c r="L187" s="68"/>
      <c r="M187" s="69"/>
    </row>
    <row r="188" spans="1:13">
      <c r="A188" s="102"/>
      <c r="B188" s="104"/>
      <c r="C188" s="106"/>
      <c r="D188" s="57">
        <v>0</v>
      </c>
      <c r="E188" s="98">
        <v>1</v>
      </c>
      <c r="F188" s="66" t="s">
        <v>329</v>
      </c>
      <c r="G188" s="67">
        <f t="shared" si="3"/>
        <v>184</v>
      </c>
      <c r="H188" s="68"/>
      <c r="I188" s="69"/>
      <c r="J188" s="70"/>
      <c r="K188" s="70"/>
      <c r="L188" s="68"/>
      <c r="M188" s="69"/>
    </row>
    <row r="189" spans="1:13">
      <c r="A189" s="102" t="s">
        <v>247</v>
      </c>
      <c r="B189" s="104" t="str">
        <f>DEC2HEX(C189)</f>
        <v>0</v>
      </c>
      <c r="C189" s="106">
        <f>SUMIF(D189:D196,1,E189:E196)</f>
        <v>0</v>
      </c>
      <c r="D189" s="57">
        <v>0</v>
      </c>
      <c r="E189" s="98">
        <v>128</v>
      </c>
      <c r="F189" s="66" t="s">
        <v>330</v>
      </c>
      <c r="G189" s="67">
        <f t="shared" si="3"/>
        <v>185</v>
      </c>
      <c r="H189" s="68"/>
      <c r="I189" s="69"/>
      <c r="J189" s="70"/>
      <c r="K189" s="70"/>
      <c r="L189" s="68"/>
      <c r="M189" s="86"/>
    </row>
    <row r="190" spans="1:13">
      <c r="A190" s="102"/>
      <c r="B190" s="104"/>
      <c r="C190" s="106"/>
      <c r="D190" s="57">
        <v>0</v>
      </c>
      <c r="E190" s="65">
        <v>64</v>
      </c>
      <c r="F190" s="66" t="s">
        <v>331</v>
      </c>
      <c r="G190" s="67">
        <f t="shared" si="3"/>
        <v>186</v>
      </c>
      <c r="H190" s="68"/>
      <c r="I190" s="69"/>
      <c r="J190" s="70"/>
      <c r="K190" s="70"/>
      <c r="L190" s="68"/>
      <c r="M190" s="69"/>
    </row>
    <row r="191" spans="1:13">
      <c r="A191" s="102"/>
      <c r="B191" s="104"/>
      <c r="C191" s="106"/>
      <c r="D191" s="57">
        <v>0</v>
      </c>
      <c r="E191" s="65">
        <v>32</v>
      </c>
      <c r="F191" s="66" t="s">
        <v>332</v>
      </c>
      <c r="G191" s="67">
        <f t="shared" si="3"/>
        <v>187</v>
      </c>
      <c r="H191" s="68"/>
      <c r="I191" s="69"/>
      <c r="J191" s="70"/>
      <c r="K191" s="70"/>
      <c r="L191" s="68"/>
      <c r="M191" s="69"/>
    </row>
    <row r="192" spans="1:13">
      <c r="A192" s="102"/>
      <c r="B192" s="104"/>
      <c r="C192" s="106"/>
      <c r="D192" s="57">
        <v>0</v>
      </c>
      <c r="E192" s="65">
        <v>16</v>
      </c>
      <c r="F192" s="66" t="s">
        <v>333</v>
      </c>
      <c r="G192" s="67">
        <f t="shared" si="3"/>
        <v>188</v>
      </c>
      <c r="H192" s="68"/>
      <c r="I192" s="69"/>
      <c r="J192" s="70"/>
      <c r="K192" s="70"/>
      <c r="L192" s="68"/>
      <c r="M192" s="69"/>
    </row>
    <row r="193" spans="1:13">
      <c r="A193" s="102"/>
      <c r="B193" s="104"/>
      <c r="C193" s="106"/>
      <c r="D193" s="57">
        <v>0</v>
      </c>
      <c r="E193" s="65">
        <v>8</v>
      </c>
      <c r="F193" s="66" t="s">
        <v>334</v>
      </c>
      <c r="G193" s="67">
        <f t="shared" si="3"/>
        <v>189</v>
      </c>
      <c r="H193" s="68"/>
      <c r="I193" s="69"/>
      <c r="J193" s="70"/>
      <c r="K193" s="70"/>
      <c r="L193" s="68"/>
      <c r="M193" s="69"/>
    </row>
    <row r="194" spans="1:13">
      <c r="A194" s="102"/>
      <c r="B194" s="104"/>
      <c r="C194" s="106"/>
      <c r="D194" s="57">
        <v>0</v>
      </c>
      <c r="E194" s="98">
        <v>4</v>
      </c>
      <c r="F194" s="66" t="s">
        <v>252</v>
      </c>
      <c r="G194" s="67">
        <f t="shared" si="3"/>
        <v>190</v>
      </c>
      <c r="H194" s="68"/>
      <c r="I194" s="69"/>
      <c r="J194" s="70"/>
      <c r="K194" s="70"/>
      <c r="L194" s="68"/>
      <c r="M194" s="69"/>
    </row>
    <row r="195" spans="1:13">
      <c r="A195" s="102"/>
      <c r="B195" s="104"/>
      <c r="C195" s="106"/>
      <c r="D195" s="57">
        <v>0</v>
      </c>
      <c r="E195" s="98">
        <v>2</v>
      </c>
      <c r="F195" s="66" t="s">
        <v>335</v>
      </c>
      <c r="G195" s="67">
        <f t="shared" si="3"/>
        <v>191</v>
      </c>
      <c r="H195" s="68"/>
      <c r="I195" s="69"/>
      <c r="J195" s="70"/>
      <c r="K195" s="70"/>
      <c r="L195" s="68"/>
      <c r="M195" s="69"/>
    </row>
    <row r="196" spans="1:13" ht="16" thickBot="1">
      <c r="A196" s="103"/>
      <c r="B196" s="105"/>
      <c r="C196" s="107"/>
      <c r="D196" s="57">
        <v>0</v>
      </c>
      <c r="E196" s="98">
        <v>1</v>
      </c>
      <c r="F196" s="66" t="s">
        <v>236</v>
      </c>
      <c r="G196" s="67">
        <f>HEX2DEC(F196)</f>
        <v>192</v>
      </c>
      <c r="H196" s="68"/>
      <c r="I196" s="69"/>
      <c r="J196" s="70"/>
      <c r="K196" s="70"/>
      <c r="L196" s="68"/>
      <c r="M196" s="86"/>
    </row>
    <row r="197" spans="1:13">
      <c r="A197" s="108" t="s">
        <v>244</v>
      </c>
      <c r="B197" s="109" t="str">
        <f>DEC2HEX(C197)</f>
        <v>0</v>
      </c>
      <c r="C197" s="110">
        <f>SUMIF(D197:D204,1,E197:E204)</f>
        <v>0</v>
      </c>
      <c r="D197" s="57">
        <v>0</v>
      </c>
      <c r="E197" s="65">
        <v>128</v>
      </c>
      <c r="F197" s="66" t="s">
        <v>292</v>
      </c>
      <c r="G197" s="67">
        <f t="shared" si="3"/>
        <v>193</v>
      </c>
      <c r="H197" s="68"/>
      <c r="I197" s="69"/>
      <c r="J197" s="70"/>
      <c r="K197" s="70"/>
      <c r="L197" s="68"/>
      <c r="M197" s="86"/>
    </row>
    <row r="198" spans="1:13">
      <c r="A198" s="102"/>
      <c r="B198" s="104"/>
      <c r="C198" s="106"/>
      <c r="D198" s="57">
        <v>0</v>
      </c>
      <c r="E198" s="65">
        <v>64</v>
      </c>
      <c r="F198" s="66" t="s">
        <v>293</v>
      </c>
      <c r="G198" s="67">
        <f t="shared" si="3"/>
        <v>194</v>
      </c>
      <c r="H198" s="68"/>
      <c r="I198" s="69"/>
      <c r="J198" s="70"/>
      <c r="K198" s="70"/>
      <c r="L198" s="68"/>
      <c r="M198" s="86"/>
    </row>
    <row r="199" spans="1:13">
      <c r="A199" s="102"/>
      <c r="B199" s="104"/>
      <c r="C199" s="106"/>
      <c r="D199" s="57">
        <v>0</v>
      </c>
      <c r="E199" s="65">
        <v>32</v>
      </c>
      <c r="F199" s="66" t="s">
        <v>239</v>
      </c>
      <c r="G199" s="67">
        <f t="shared" si="3"/>
        <v>195</v>
      </c>
      <c r="H199" s="68"/>
      <c r="I199" s="69"/>
      <c r="J199" s="70"/>
      <c r="K199" s="70"/>
      <c r="L199" s="68"/>
      <c r="M199" s="69"/>
    </row>
    <row r="200" spans="1:13">
      <c r="A200" s="102"/>
      <c r="B200" s="104"/>
      <c r="C200" s="106"/>
      <c r="D200" s="57">
        <v>0</v>
      </c>
      <c r="E200" s="65">
        <v>16</v>
      </c>
      <c r="F200" s="66" t="s">
        <v>242</v>
      </c>
      <c r="G200" s="67">
        <f t="shared" si="3"/>
        <v>196</v>
      </c>
      <c r="H200" s="68"/>
      <c r="I200" s="69"/>
      <c r="J200" s="70"/>
      <c r="K200" s="70"/>
      <c r="L200" s="68"/>
      <c r="M200" s="69"/>
    </row>
    <row r="201" spans="1:13">
      <c r="A201" s="102"/>
      <c r="B201" s="104"/>
      <c r="C201" s="106"/>
      <c r="E201" s="65"/>
      <c r="F201" s="85" t="s">
        <v>0</v>
      </c>
      <c r="G201" s="85" t="s">
        <v>0</v>
      </c>
      <c r="H201" s="100"/>
      <c r="I201" s="100"/>
      <c r="J201" s="100"/>
      <c r="K201" s="100"/>
      <c r="L201" s="100"/>
      <c r="M201" s="101"/>
    </row>
    <row r="202" spans="1:13">
      <c r="A202" s="102"/>
      <c r="B202" s="104"/>
      <c r="C202" s="106"/>
      <c r="E202" s="98"/>
      <c r="F202" s="85" t="s">
        <v>1</v>
      </c>
      <c r="G202" s="85" t="s">
        <v>243</v>
      </c>
      <c r="H202" s="100"/>
      <c r="I202" s="100"/>
      <c r="J202" s="100"/>
      <c r="K202" s="100"/>
      <c r="L202" s="100"/>
      <c r="M202" s="101"/>
    </row>
    <row r="203" spans="1:13">
      <c r="A203" s="102"/>
      <c r="B203" s="104"/>
      <c r="C203" s="106"/>
      <c r="E203" s="98"/>
    </row>
    <row r="204" spans="1:13" ht="16" thickBot="1">
      <c r="A204" s="103"/>
      <c r="B204" s="105"/>
      <c r="C204" s="107"/>
      <c r="E204" s="65"/>
    </row>
    <row r="205" spans="1:13">
      <c r="A205" s="98"/>
      <c r="B205" s="94"/>
      <c r="C205" s="98"/>
    </row>
  </sheetData>
  <mergeCells count="111">
    <mergeCell ref="H1:H2"/>
    <mergeCell ref="I1:I2"/>
    <mergeCell ref="J1:J2"/>
    <mergeCell ref="K1:K2"/>
    <mergeCell ref="L1:L2"/>
    <mergeCell ref="M1:M2"/>
    <mergeCell ref="J9:J13"/>
    <mergeCell ref="K9:K13"/>
    <mergeCell ref="L9:L13"/>
    <mergeCell ref="A4:A12"/>
    <mergeCell ref="B4:B12"/>
    <mergeCell ref="C4:C12"/>
    <mergeCell ref="D9:D10"/>
    <mergeCell ref="E9:E10"/>
    <mergeCell ref="F9:F10"/>
    <mergeCell ref="A13:A20"/>
    <mergeCell ref="B13:B20"/>
    <mergeCell ref="C13:C20"/>
    <mergeCell ref="A21:A28"/>
    <mergeCell ref="B21:B28"/>
    <mergeCell ref="C21:C28"/>
    <mergeCell ref="G9:G10"/>
    <mergeCell ref="H9:H10"/>
    <mergeCell ref="I9:I10"/>
    <mergeCell ref="A45:A52"/>
    <mergeCell ref="B45:B52"/>
    <mergeCell ref="C45:C52"/>
    <mergeCell ref="A53:A60"/>
    <mergeCell ref="B53:B60"/>
    <mergeCell ref="C53:C60"/>
    <mergeCell ref="A29:A36"/>
    <mergeCell ref="B29:B36"/>
    <mergeCell ref="C29:C36"/>
    <mergeCell ref="A37:A44"/>
    <mergeCell ref="B37:B44"/>
    <mergeCell ref="C37:C44"/>
    <mergeCell ref="M64:M67"/>
    <mergeCell ref="A69:A76"/>
    <mergeCell ref="B69:B76"/>
    <mergeCell ref="C69:C76"/>
    <mergeCell ref="J75:J80"/>
    <mergeCell ref="K75:K80"/>
    <mergeCell ref="L75:L80"/>
    <mergeCell ref="M75:M80"/>
    <mergeCell ref="A77:A84"/>
    <mergeCell ref="B77:B84"/>
    <mergeCell ref="A61:A68"/>
    <mergeCell ref="B61:B68"/>
    <mergeCell ref="C61:C68"/>
    <mergeCell ref="J64:J67"/>
    <mergeCell ref="K64:K67"/>
    <mergeCell ref="L64:L67"/>
    <mergeCell ref="C77:C84"/>
    <mergeCell ref="J81:J82"/>
    <mergeCell ref="K81:K82"/>
    <mergeCell ref="L81:L82"/>
    <mergeCell ref="M81:M82"/>
    <mergeCell ref="A85:A92"/>
    <mergeCell ref="B85:B92"/>
    <mergeCell ref="C85:C92"/>
    <mergeCell ref="J89:J92"/>
    <mergeCell ref="K89:K92"/>
    <mergeCell ref="A109:A116"/>
    <mergeCell ref="B109:B116"/>
    <mergeCell ref="C109:C116"/>
    <mergeCell ref="A117:A124"/>
    <mergeCell ref="B117:B124"/>
    <mergeCell ref="C117:C124"/>
    <mergeCell ref="L89:L92"/>
    <mergeCell ref="A93:A100"/>
    <mergeCell ref="B93:B100"/>
    <mergeCell ref="C93:C100"/>
    <mergeCell ref="A101:A108"/>
    <mergeCell ref="B101:B108"/>
    <mergeCell ref="C101:C108"/>
    <mergeCell ref="A141:A148"/>
    <mergeCell ref="B141:B148"/>
    <mergeCell ref="C141:C148"/>
    <mergeCell ref="A149:A156"/>
    <mergeCell ref="B149:B156"/>
    <mergeCell ref="C149:C156"/>
    <mergeCell ref="A125:A132"/>
    <mergeCell ref="B125:B132"/>
    <mergeCell ref="C125:C132"/>
    <mergeCell ref="A133:A140"/>
    <mergeCell ref="B133:B140"/>
    <mergeCell ref="C133:C140"/>
    <mergeCell ref="A173:A180"/>
    <mergeCell ref="B173:B180"/>
    <mergeCell ref="C173:C180"/>
    <mergeCell ref="A181:A188"/>
    <mergeCell ref="B181:B188"/>
    <mergeCell ref="C181:C188"/>
    <mergeCell ref="A157:A164"/>
    <mergeCell ref="B157:B164"/>
    <mergeCell ref="C157:C164"/>
    <mergeCell ref="A165:A172"/>
    <mergeCell ref="B165:B172"/>
    <mergeCell ref="C165:C172"/>
    <mergeCell ref="H201:H202"/>
    <mergeCell ref="I201:I202"/>
    <mergeCell ref="J201:J202"/>
    <mergeCell ref="K201:K202"/>
    <mergeCell ref="L201:L202"/>
    <mergeCell ref="M201:M202"/>
    <mergeCell ref="A189:A196"/>
    <mergeCell ref="B189:B196"/>
    <mergeCell ref="C189:C196"/>
    <mergeCell ref="A197:A204"/>
    <mergeCell ref="B197:B204"/>
    <mergeCell ref="C197:C204"/>
  </mergeCells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05"/>
  <sheetViews>
    <sheetView workbookViewId="0">
      <pane ySplit="2" topLeftCell="A3" activePane="bottomLeft" state="frozenSplit"/>
      <selection activeCell="C29" sqref="C29:C36"/>
      <selection pane="bottomLeft" activeCell="K8" sqref="K8"/>
    </sheetView>
  </sheetViews>
  <sheetFormatPr baseColWidth="10" defaultColWidth="29.5" defaultRowHeight="15" x14ac:dyDescent="0"/>
  <cols>
    <col min="1" max="1" width="6.6640625" bestFit="1" customWidth="1"/>
    <col min="2" max="3" width="9" style="10" bestFit="1" customWidth="1"/>
    <col min="4" max="4" width="9.83203125" style="10" bestFit="1" customWidth="1"/>
    <col min="5" max="5" width="4.1640625" bestFit="1" customWidth="1"/>
    <col min="6" max="6" width="5.5" style="10" bestFit="1" customWidth="1"/>
    <col min="7" max="7" width="7.33203125" style="10" bestFit="1" customWidth="1"/>
    <col min="8" max="8" width="18" style="10" bestFit="1" customWidth="1"/>
    <col min="12" max="12" width="14.6640625" style="9" bestFit="1" customWidth="1"/>
    <col min="13" max="13" width="49.6640625" customWidth="1"/>
  </cols>
  <sheetData>
    <row r="1" spans="1:13">
      <c r="A1" s="9" t="s">
        <v>254</v>
      </c>
      <c r="B1" s="10" t="s">
        <v>251</v>
      </c>
      <c r="C1" s="10" t="s">
        <v>251</v>
      </c>
      <c r="D1" s="10" t="s">
        <v>249</v>
      </c>
      <c r="E1" t="s">
        <v>248</v>
      </c>
      <c r="F1" s="2" t="s">
        <v>0</v>
      </c>
      <c r="G1" s="2" t="s">
        <v>0</v>
      </c>
      <c r="H1" s="120" t="s">
        <v>2</v>
      </c>
      <c r="I1" s="120" t="s">
        <v>3</v>
      </c>
      <c r="J1" s="120" t="s">
        <v>4</v>
      </c>
      <c r="K1" s="120" t="s">
        <v>5</v>
      </c>
      <c r="L1" s="120" t="s">
        <v>6</v>
      </c>
      <c r="M1" s="133" t="s">
        <v>7</v>
      </c>
    </row>
    <row r="2" spans="1:13">
      <c r="A2" s="9" t="s">
        <v>253</v>
      </c>
      <c r="B2" s="10" t="s">
        <v>1</v>
      </c>
      <c r="C2" s="10" t="s">
        <v>243</v>
      </c>
      <c r="D2" s="10" t="s">
        <v>250</v>
      </c>
      <c r="F2" s="2" t="s">
        <v>1</v>
      </c>
      <c r="G2" s="2" t="s">
        <v>243</v>
      </c>
      <c r="H2" s="120"/>
      <c r="I2" s="120"/>
      <c r="J2" s="120"/>
      <c r="K2" s="120"/>
      <c r="L2" s="120"/>
      <c r="M2" s="133"/>
    </row>
    <row r="3" spans="1:13" s="15" customFormat="1" ht="16" thickBot="1">
      <c r="B3" s="16"/>
      <c r="C3" s="16"/>
      <c r="D3" s="16">
        <v>1</v>
      </c>
      <c r="F3" s="17">
        <v>0</v>
      </c>
      <c r="G3" s="17">
        <f t="shared" ref="G3:G9" si="0">HEX2DEC(F3)</f>
        <v>0</v>
      </c>
      <c r="H3" s="18">
        <v>4</v>
      </c>
      <c r="I3" s="19" t="s">
        <v>8</v>
      </c>
      <c r="J3" s="20"/>
      <c r="K3" s="20"/>
      <c r="L3" s="18"/>
      <c r="M3" s="21" t="s">
        <v>9</v>
      </c>
    </row>
    <row r="4" spans="1:13" ht="60">
      <c r="A4" s="131" t="s">
        <v>244</v>
      </c>
      <c r="B4" s="128" t="str">
        <f>DEC2HEX(C4)</f>
        <v>80</v>
      </c>
      <c r="C4" s="127">
        <f>SUMIF(D4:D12,1,E4:E12)</f>
        <v>128</v>
      </c>
      <c r="D4" s="10">
        <v>1</v>
      </c>
      <c r="E4" s="10">
        <v>128</v>
      </c>
      <c r="F4" s="8">
        <v>1</v>
      </c>
      <c r="G4" s="7">
        <f t="shared" si="0"/>
        <v>1</v>
      </c>
      <c r="H4" s="1">
        <v>4</v>
      </c>
      <c r="I4" s="4" t="s">
        <v>10</v>
      </c>
      <c r="J4" s="3"/>
      <c r="K4" s="3"/>
      <c r="L4" s="1"/>
      <c r="M4" s="5" t="s">
        <v>11</v>
      </c>
    </row>
    <row r="5" spans="1:13">
      <c r="A5" s="129"/>
      <c r="B5" s="123"/>
      <c r="C5" s="121"/>
      <c r="D5" s="10">
        <v>0</v>
      </c>
      <c r="E5" s="10">
        <v>64</v>
      </c>
      <c r="F5" s="8">
        <v>2</v>
      </c>
      <c r="G5" s="7">
        <f t="shared" si="0"/>
        <v>2</v>
      </c>
      <c r="H5" s="1">
        <v>2</v>
      </c>
      <c r="I5" s="4" t="s">
        <v>12</v>
      </c>
      <c r="J5" s="3"/>
      <c r="K5" s="3"/>
      <c r="L5" s="1"/>
      <c r="M5" s="4"/>
    </row>
    <row r="6" spans="1:13">
      <c r="A6" s="129"/>
      <c r="B6" s="123"/>
      <c r="C6" s="121"/>
      <c r="D6" s="10">
        <v>0</v>
      </c>
      <c r="E6" s="10">
        <v>32</v>
      </c>
      <c r="F6" s="8">
        <v>3</v>
      </c>
      <c r="G6" s="7">
        <f t="shared" si="0"/>
        <v>3</v>
      </c>
      <c r="H6" s="1">
        <v>2</v>
      </c>
      <c r="I6" s="4" t="s">
        <v>13</v>
      </c>
      <c r="J6" s="3"/>
      <c r="K6" s="3"/>
      <c r="L6" s="1"/>
      <c r="M6" s="5" t="s">
        <v>11</v>
      </c>
    </row>
    <row r="7" spans="1:13" ht="30">
      <c r="A7" s="129"/>
      <c r="B7" s="123"/>
      <c r="C7" s="121"/>
      <c r="D7" s="10">
        <v>0</v>
      </c>
      <c r="E7" s="10">
        <v>16</v>
      </c>
      <c r="F7" s="8">
        <v>4</v>
      </c>
      <c r="G7" s="7">
        <f t="shared" si="0"/>
        <v>4</v>
      </c>
      <c r="H7" s="1">
        <v>1</v>
      </c>
      <c r="I7" s="4" t="s">
        <v>14</v>
      </c>
      <c r="J7" s="3">
        <v>0</v>
      </c>
      <c r="K7" s="3">
        <v>100</v>
      </c>
      <c r="L7" s="1" t="s">
        <v>15</v>
      </c>
      <c r="M7" s="4" t="s">
        <v>16</v>
      </c>
    </row>
    <row r="8" spans="1:13" s="15" customFormat="1">
      <c r="A8" s="129"/>
      <c r="B8" s="123"/>
      <c r="C8" s="121"/>
      <c r="D8" s="16">
        <v>0</v>
      </c>
      <c r="E8" s="16">
        <v>8</v>
      </c>
      <c r="F8" s="22">
        <v>5</v>
      </c>
      <c r="G8" s="17">
        <f t="shared" si="0"/>
        <v>5</v>
      </c>
      <c r="H8" s="18">
        <v>1</v>
      </c>
      <c r="I8" s="19" t="s">
        <v>17</v>
      </c>
      <c r="J8" s="20">
        <v>-40</v>
      </c>
      <c r="K8" s="20">
        <v>215</v>
      </c>
      <c r="L8" s="18" t="s">
        <v>18</v>
      </c>
      <c r="M8" s="19" t="s">
        <v>19</v>
      </c>
    </row>
    <row r="9" spans="1:13">
      <c r="A9" s="129"/>
      <c r="B9" s="123"/>
      <c r="C9" s="121"/>
      <c r="D9" s="130">
        <v>0</v>
      </c>
      <c r="E9" s="130">
        <v>4</v>
      </c>
      <c r="F9" s="139">
        <v>6</v>
      </c>
      <c r="G9" s="139">
        <f t="shared" si="0"/>
        <v>6</v>
      </c>
      <c r="H9" s="136">
        <v>1</v>
      </c>
      <c r="I9" s="137" t="s">
        <v>20</v>
      </c>
      <c r="J9" s="134" t="s">
        <v>21</v>
      </c>
      <c r="K9" s="134" t="s">
        <v>22</v>
      </c>
      <c r="L9" s="136" t="s">
        <v>15</v>
      </c>
      <c r="M9" s="4" t="s">
        <v>23</v>
      </c>
    </row>
    <row r="10" spans="1:13">
      <c r="A10" s="129"/>
      <c r="B10" s="123"/>
      <c r="C10" s="121"/>
      <c r="D10" s="130"/>
      <c r="E10" s="130"/>
      <c r="F10" s="139"/>
      <c r="G10" s="139"/>
      <c r="H10" s="136"/>
      <c r="I10" s="137"/>
      <c r="J10" s="134"/>
      <c r="K10" s="134"/>
      <c r="L10" s="136"/>
      <c r="M10" s="4"/>
    </row>
    <row r="11" spans="1:13">
      <c r="A11" s="129"/>
      <c r="B11" s="123"/>
      <c r="C11" s="121"/>
      <c r="D11" s="10">
        <v>0</v>
      </c>
      <c r="E11" s="10">
        <v>2</v>
      </c>
      <c r="F11" s="8">
        <v>7</v>
      </c>
      <c r="G11" s="7">
        <f t="shared" ref="G11:G42" si="1">HEX2DEC(F11)</f>
        <v>7</v>
      </c>
      <c r="H11" s="1">
        <v>1</v>
      </c>
      <c r="I11" s="4" t="s">
        <v>26</v>
      </c>
      <c r="J11" s="134"/>
      <c r="K11" s="134"/>
      <c r="L11" s="136"/>
      <c r="M11" s="4"/>
    </row>
    <row r="12" spans="1:13">
      <c r="A12" s="129"/>
      <c r="B12" s="123"/>
      <c r="C12" s="121"/>
      <c r="D12" s="10">
        <v>0</v>
      </c>
      <c r="E12" s="10">
        <v>1</v>
      </c>
      <c r="F12" s="8">
        <v>8</v>
      </c>
      <c r="G12" s="7">
        <f t="shared" si="1"/>
        <v>8</v>
      </c>
      <c r="H12" s="1">
        <v>1</v>
      </c>
      <c r="I12" s="4" t="s">
        <v>27</v>
      </c>
      <c r="J12" s="134"/>
      <c r="K12" s="134"/>
      <c r="L12" s="136"/>
      <c r="M12" s="4" t="s">
        <v>24</v>
      </c>
    </row>
    <row r="13" spans="1:13">
      <c r="A13" s="129" t="s">
        <v>245</v>
      </c>
      <c r="B13" s="123" t="str">
        <f>DEC2HEX(C13)</f>
        <v>10</v>
      </c>
      <c r="C13" s="121">
        <f>SUMIF(D13:D20,1,E13:E20)</f>
        <v>16</v>
      </c>
      <c r="D13" s="10">
        <v>0</v>
      </c>
      <c r="E13" s="10">
        <v>128</v>
      </c>
      <c r="F13" s="8">
        <v>9</v>
      </c>
      <c r="G13" s="7">
        <f t="shared" si="1"/>
        <v>9</v>
      </c>
      <c r="H13" s="1">
        <v>1</v>
      </c>
      <c r="I13" s="4" t="s">
        <v>28</v>
      </c>
      <c r="J13" s="134"/>
      <c r="K13" s="134"/>
      <c r="L13" s="136"/>
      <c r="M13" s="4" t="s">
        <v>25</v>
      </c>
    </row>
    <row r="14" spans="1:13">
      <c r="A14" s="129"/>
      <c r="B14" s="123"/>
      <c r="C14" s="121"/>
      <c r="D14" s="10">
        <v>0</v>
      </c>
      <c r="E14" s="10">
        <v>64</v>
      </c>
      <c r="F14" s="8" t="s">
        <v>29</v>
      </c>
      <c r="G14" s="7">
        <f t="shared" si="1"/>
        <v>10</v>
      </c>
      <c r="H14" s="1">
        <v>1</v>
      </c>
      <c r="I14" s="5" t="s">
        <v>30</v>
      </c>
      <c r="J14" s="3">
        <v>0</v>
      </c>
      <c r="K14" s="3">
        <v>765</v>
      </c>
      <c r="L14" s="1" t="s">
        <v>31</v>
      </c>
      <c r="M14" s="4" t="s">
        <v>32</v>
      </c>
    </row>
    <row r="15" spans="1:13">
      <c r="A15" s="129"/>
      <c r="B15" s="123"/>
      <c r="C15" s="121"/>
      <c r="D15" s="10">
        <v>0</v>
      </c>
      <c r="E15" s="10">
        <v>32</v>
      </c>
      <c r="F15" s="8" t="s">
        <v>33</v>
      </c>
      <c r="G15" s="7">
        <f t="shared" si="1"/>
        <v>11</v>
      </c>
      <c r="H15" s="1">
        <v>1</v>
      </c>
      <c r="I15" s="4" t="s">
        <v>34</v>
      </c>
      <c r="J15" s="3">
        <v>0</v>
      </c>
      <c r="K15" s="3">
        <v>255</v>
      </c>
      <c r="L15" s="1" t="s">
        <v>31</v>
      </c>
      <c r="M15" s="4" t="s">
        <v>35</v>
      </c>
    </row>
    <row r="16" spans="1:13" s="15" customFormat="1">
      <c r="A16" s="129"/>
      <c r="B16" s="123"/>
      <c r="C16" s="121"/>
      <c r="D16" s="16">
        <v>1</v>
      </c>
      <c r="E16" s="16">
        <v>16</v>
      </c>
      <c r="F16" s="22" t="s">
        <v>36</v>
      </c>
      <c r="G16" s="17">
        <f t="shared" si="1"/>
        <v>12</v>
      </c>
      <c r="H16" s="18">
        <v>2</v>
      </c>
      <c r="I16" s="19" t="s">
        <v>37</v>
      </c>
      <c r="J16" s="20">
        <v>0</v>
      </c>
      <c r="K16" s="23">
        <v>16383.75</v>
      </c>
      <c r="L16" s="18" t="s">
        <v>38</v>
      </c>
      <c r="M16" s="19" t="s">
        <v>39</v>
      </c>
    </row>
    <row r="17" spans="1:13">
      <c r="A17" s="129"/>
      <c r="B17" s="123"/>
      <c r="C17" s="121"/>
      <c r="D17" s="10">
        <v>0</v>
      </c>
      <c r="E17" s="10">
        <v>8</v>
      </c>
      <c r="F17" s="8" t="s">
        <v>40</v>
      </c>
      <c r="G17" s="7">
        <f t="shared" si="1"/>
        <v>13</v>
      </c>
      <c r="H17" s="1">
        <v>1</v>
      </c>
      <c r="I17" s="4" t="s">
        <v>41</v>
      </c>
      <c r="J17" s="3">
        <v>0</v>
      </c>
      <c r="K17" s="3">
        <v>255</v>
      </c>
      <c r="L17" s="1" t="s">
        <v>42</v>
      </c>
    </row>
    <row r="18" spans="1:13" s="15" customFormat="1">
      <c r="A18" s="129"/>
      <c r="B18" s="123"/>
      <c r="C18" s="121"/>
      <c r="D18" s="16">
        <v>0</v>
      </c>
      <c r="E18" s="16">
        <v>4</v>
      </c>
      <c r="F18" s="22" t="s">
        <v>43</v>
      </c>
      <c r="G18" s="17">
        <f t="shared" si="1"/>
        <v>14</v>
      </c>
      <c r="H18" s="18">
        <v>1</v>
      </c>
      <c r="I18" s="19" t="s">
        <v>44</v>
      </c>
      <c r="J18" s="20">
        <v>-64</v>
      </c>
      <c r="K18" s="20">
        <v>63.5</v>
      </c>
      <c r="L18" s="64" t="s">
        <v>45</v>
      </c>
      <c r="M18" s="19" t="s">
        <v>46</v>
      </c>
    </row>
    <row r="19" spans="1:13" s="15" customFormat="1">
      <c r="A19" s="129"/>
      <c r="B19" s="123"/>
      <c r="C19" s="121"/>
      <c r="D19" s="16">
        <v>0</v>
      </c>
      <c r="E19" s="16">
        <v>2</v>
      </c>
      <c r="F19" s="22" t="s">
        <v>47</v>
      </c>
      <c r="G19" s="17">
        <f t="shared" si="1"/>
        <v>15</v>
      </c>
      <c r="H19" s="18">
        <v>1</v>
      </c>
      <c r="I19" s="19" t="s">
        <v>48</v>
      </c>
      <c r="J19" s="20">
        <v>-40</v>
      </c>
      <c r="K19" s="20">
        <v>215</v>
      </c>
      <c r="L19" s="18" t="s">
        <v>18</v>
      </c>
      <c r="M19" s="19" t="s">
        <v>19</v>
      </c>
    </row>
    <row r="20" spans="1:13">
      <c r="A20" s="129"/>
      <c r="B20" s="123"/>
      <c r="C20" s="121"/>
      <c r="D20" s="10">
        <v>0</v>
      </c>
      <c r="E20" s="10">
        <v>1</v>
      </c>
      <c r="F20" s="8">
        <v>10</v>
      </c>
      <c r="G20" s="7">
        <f t="shared" si="1"/>
        <v>16</v>
      </c>
      <c r="H20" s="1">
        <v>2</v>
      </c>
      <c r="I20" s="4" t="s">
        <v>49</v>
      </c>
      <c r="J20" s="3">
        <v>0</v>
      </c>
      <c r="K20" s="3">
        <v>655.35</v>
      </c>
      <c r="L20" s="1" t="s">
        <v>50</v>
      </c>
      <c r="M20" s="4" t="s">
        <v>51</v>
      </c>
    </row>
    <row r="21" spans="1:13" s="15" customFormat="1">
      <c r="A21" s="129" t="s">
        <v>246</v>
      </c>
      <c r="B21" s="123" t="str">
        <f>DEC2HEX(C21)</f>
        <v>80</v>
      </c>
      <c r="C21" s="121">
        <f>SUMIF(D21:D28,1,E21:E28)</f>
        <v>128</v>
      </c>
      <c r="D21" s="16">
        <v>1</v>
      </c>
      <c r="E21" s="16">
        <v>128</v>
      </c>
      <c r="F21" s="22">
        <v>11</v>
      </c>
      <c r="G21" s="17">
        <f t="shared" si="1"/>
        <v>17</v>
      </c>
      <c r="H21" s="18">
        <v>1</v>
      </c>
      <c r="I21" s="19" t="s">
        <v>52</v>
      </c>
      <c r="J21" s="20">
        <v>0</v>
      </c>
      <c r="K21" s="20">
        <v>100</v>
      </c>
      <c r="L21" s="18" t="s">
        <v>15</v>
      </c>
      <c r="M21" s="19" t="s">
        <v>53</v>
      </c>
    </row>
    <row r="22" spans="1:13">
      <c r="A22" s="129"/>
      <c r="B22" s="123"/>
      <c r="C22" s="121"/>
      <c r="D22" s="10">
        <v>0</v>
      </c>
      <c r="E22" s="10">
        <v>64</v>
      </c>
      <c r="F22" s="8">
        <v>12</v>
      </c>
      <c r="G22" s="7">
        <f t="shared" si="1"/>
        <v>18</v>
      </c>
      <c r="H22" s="1">
        <v>1</v>
      </c>
      <c r="I22" s="4" t="s">
        <v>54</v>
      </c>
      <c r="J22" s="3"/>
      <c r="K22" s="3"/>
      <c r="L22" s="1"/>
      <c r="M22" s="5" t="s">
        <v>11</v>
      </c>
    </row>
    <row r="23" spans="1:13" ht="30">
      <c r="A23" s="129"/>
      <c r="B23" s="123"/>
      <c r="C23" s="121"/>
      <c r="D23" s="10">
        <v>0</v>
      </c>
      <c r="E23" s="10">
        <v>32</v>
      </c>
      <c r="F23" s="8">
        <v>13</v>
      </c>
      <c r="G23" s="7">
        <f t="shared" si="1"/>
        <v>19</v>
      </c>
      <c r="H23" s="1">
        <v>1</v>
      </c>
      <c r="I23" s="4" t="s">
        <v>55</v>
      </c>
      <c r="J23" s="3"/>
      <c r="K23" s="3"/>
      <c r="L23" s="1"/>
      <c r="M23" s="4" t="s">
        <v>56</v>
      </c>
    </row>
    <row r="24" spans="1:13" s="30" customFormat="1" ht="30">
      <c r="A24" s="129"/>
      <c r="B24" s="123"/>
      <c r="C24" s="121"/>
      <c r="D24" s="24">
        <v>0</v>
      </c>
      <c r="E24" s="78">
        <v>16</v>
      </c>
      <c r="F24" s="79">
        <v>14</v>
      </c>
      <c r="G24" s="79">
        <f t="shared" si="1"/>
        <v>20</v>
      </c>
      <c r="H24" s="29">
        <v>2</v>
      </c>
      <c r="I24" s="28" t="s">
        <v>255</v>
      </c>
      <c r="J24" s="29" t="s">
        <v>256</v>
      </c>
      <c r="K24" s="80" t="s">
        <v>257</v>
      </c>
      <c r="L24" s="27" t="s">
        <v>57</v>
      </c>
      <c r="M24" s="28" t="s">
        <v>58</v>
      </c>
    </row>
    <row r="25" spans="1:13" s="30" customFormat="1" ht="30">
      <c r="A25" s="129"/>
      <c r="B25" s="123"/>
      <c r="C25" s="121"/>
      <c r="D25" s="24">
        <v>0</v>
      </c>
      <c r="E25" s="24">
        <v>8</v>
      </c>
      <c r="F25" s="25">
        <v>15</v>
      </c>
      <c r="G25" s="25">
        <f t="shared" si="1"/>
        <v>21</v>
      </c>
      <c r="H25" s="27">
        <v>2</v>
      </c>
      <c r="I25" s="28" t="s">
        <v>258</v>
      </c>
      <c r="J25" s="29" t="s">
        <v>256</v>
      </c>
      <c r="K25" s="80" t="s">
        <v>257</v>
      </c>
      <c r="L25" s="27" t="s">
        <v>57</v>
      </c>
      <c r="M25" s="28" t="s">
        <v>59</v>
      </c>
    </row>
    <row r="26" spans="1:13" ht="30">
      <c r="A26" s="129"/>
      <c r="B26" s="123"/>
      <c r="C26" s="121"/>
      <c r="D26" s="10">
        <v>0</v>
      </c>
      <c r="E26" s="10">
        <v>4</v>
      </c>
      <c r="F26" s="8">
        <v>16</v>
      </c>
      <c r="G26" s="8">
        <f t="shared" si="1"/>
        <v>22</v>
      </c>
      <c r="H26" s="1">
        <v>2</v>
      </c>
      <c r="I26" s="4" t="s">
        <v>259</v>
      </c>
      <c r="J26" s="3" t="s">
        <v>256</v>
      </c>
      <c r="K26" s="3" t="s">
        <v>257</v>
      </c>
      <c r="L26" s="1" t="s">
        <v>57</v>
      </c>
      <c r="M26" s="4" t="s">
        <v>60</v>
      </c>
    </row>
    <row r="27" spans="1:13" ht="30">
      <c r="A27" s="129"/>
      <c r="B27" s="123"/>
      <c r="C27" s="121"/>
      <c r="D27" s="10">
        <v>0</v>
      </c>
      <c r="E27" s="10">
        <v>2</v>
      </c>
      <c r="F27" s="8">
        <v>17</v>
      </c>
      <c r="G27" s="8">
        <f t="shared" si="1"/>
        <v>23</v>
      </c>
      <c r="H27" s="1">
        <v>2</v>
      </c>
      <c r="I27" s="4" t="s">
        <v>260</v>
      </c>
      <c r="J27" s="3" t="s">
        <v>256</v>
      </c>
      <c r="K27" s="3" t="s">
        <v>257</v>
      </c>
      <c r="L27" s="1" t="s">
        <v>57</v>
      </c>
      <c r="M27" s="4"/>
    </row>
    <row r="28" spans="1:13" ht="30">
      <c r="A28" s="129"/>
      <c r="B28" s="123"/>
      <c r="C28" s="121"/>
      <c r="D28" s="10">
        <v>0</v>
      </c>
      <c r="E28" s="10">
        <v>1</v>
      </c>
      <c r="F28" s="8">
        <v>18</v>
      </c>
      <c r="G28" s="8">
        <f t="shared" si="1"/>
        <v>24</v>
      </c>
      <c r="H28" s="1">
        <v>2</v>
      </c>
      <c r="I28" s="4" t="s">
        <v>261</v>
      </c>
      <c r="J28" s="3" t="s">
        <v>256</v>
      </c>
      <c r="K28" s="3" t="s">
        <v>257</v>
      </c>
      <c r="L28" s="1" t="s">
        <v>57</v>
      </c>
      <c r="M28" s="4"/>
    </row>
    <row r="29" spans="1:13" ht="30">
      <c r="A29" s="129" t="s">
        <v>247</v>
      </c>
      <c r="B29" s="123" t="str">
        <f>DEC2HEX(C29)</f>
        <v>10</v>
      </c>
      <c r="C29" s="121">
        <f>SUMIF(D29:D36,1,E29:E36)</f>
        <v>16</v>
      </c>
      <c r="D29" s="10">
        <v>0</v>
      </c>
      <c r="E29" s="10">
        <v>128</v>
      </c>
      <c r="F29" s="8">
        <v>19</v>
      </c>
      <c r="G29" s="8">
        <f t="shared" si="1"/>
        <v>25</v>
      </c>
      <c r="H29" s="1">
        <v>2</v>
      </c>
      <c r="I29" s="4" t="s">
        <v>262</v>
      </c>
      <c r="J29" s="3" t="s">
        <v>256</v>
      </c>
      <c r="K29" s="3" t="s">
        <v>257</v>
      </c>
      <c r="L29" s="1" t="s">
        <v>57</v>
      </c>
      <c r="M29" s="4"/>
    </row>
    <row r="30" spans="1:13" ht="30">
      <c r="A30" s="129"/>
      <c r="B30" s="123"/>
      <c r="C30" s="121"/>
      <c r="D30" s="10">
        <v>0</v>
      </c>
      <c r="E30" s="10">
        <v>64</v>
      </c>
      <c r="F30" s="8" t="s">
        <v>61</v>
      </c>
      <c r="G30" s="8">
        <f t="shared" si="1"/>
        <v>26</v>
      </c>
      <c r="H30" s="1">
        <v>2</v>
      </c>
      <c r="I30" s="4" t="s">
        <v>263</v>
      </c>
      <c r="J30" s="3" t="s">
        <v>256</v>
      </c>
      <c r="K30" s="3" t="s">
        <v>257</v>
      </c>
      <c r="L30" s="1" t="s">
        <v>57</v>
      </c>
      <c r="M30" s="4"/>
    </row>
    <row r="31" spans="1:13" ht="30">
      <c r="A31" s="129"/>
      <c r="B31" s="123"/>
      <c r="C31" s="121"/>
      <c r="D31" s="10">
        <v>0</v>
      </c>
      <c r="E31" s="10">
        <v>32</v>
      </c>
      <c r="F31" s="8" t="s">
        <v>62</v>
      </c>
      <c r="G31" s="8">
        <f t="shared" si="1"/>
        <v>27</v>
      </c>
      <c r="H31" s="1">
        <v>2</v>
      </c>
      <c r="I31" s="4" t="s">
        <v>264</v>
      </c>
      <c r="J31" s="3" t="s">
        <v>256</v>
      </c>
      <c r="K31" s="3" t="s">
        <v>257</v>
      </c>
      <c r="L31" s="1" t="s">
        <v>57</v>
      </c>
      <c r="M31" s="4"/>
    </row>
    <row r="32" spans="1:13" s="15" customFormat="1" ht="30">
      <c r="A32" s="129"/>
      <c r="B32" s="123"/>
      <c r="C32" s="121"/>
      <c r="D32" s="16">
        <v>1</v>
      </c>
      <c r="E32" s="16">
        <v>16</v>
      </c>
      <c r="F32" s="22" t="s">
        <v>63</v>
      </c>
      <c r="G32" s="17">
        <f t="shared" si="1"/>
        <v>28</v>
      </c>
      <c r="H32" s="18">
        <v>1</v>
      </c>
      <c r="I32" s="19" t="s">
        <v>64</v>
      </c>
      <c r="J32" s="20"/>
      <c r="K32" s="20"/>
      <c r="L32" s="18"/>
      <c r="M32" s="21" t="s">
        <v>11</v>
      </c>
    </row>
    <row r="33" spans="1:13" ht="30">
      <c r="A33" s="129"/>
      <c r="B33" s="123"/>
      <c r="C33" s="121"/>
      <c r="D33" s="10">
        <v>0</v>
      </c>
      <c r="E33" s="10">
        <v>8</v>
      </c>
      <c r="F33" s="8" t="s">
        <v>65</v>
      </c>
      <c r="G33" s="7">
        <f t="shared" si="1"/>
        <v>29</v>
      </c>
      <c r="H33" s="1">
        <v>1</v>
      </c>
      <c r="I33" s="4" t="s">
        <v>66</v>
      </c>
      <c r="J33" s="3"/>
      <c r="K33" s="3"/>
      <c r="L33" s="1"/>
      <c r="M33" s="4" t="s">
        <v>67</v>
      </c>
    </row>
    <row r="34" spans="1:13" ht="30">
      <c r="A34" s="129"/>
      <c r="B34" s="123"/>
      <c r="C34" s="121"/>
      <c r="D34" s="10">
        <v>0</v>
      </c>
      <c r="E34" s="10">
        <v>4</v>
      </c>
      <c r="F34" s="8" t="s">
        <v>68</v>
      </c>
      <c r="G34" s="8">
        <f t="shared" si="1"/>
        <v>30</v>
      </c>
      <c r="H34" s="1">
        <v>1</v>
      </c>
      <c r="I34" s="4" t="s">
        <v>69</v>
      </c>
      <c r="J34" s="3"/>
      <c r="K34" s="3"/>
      <c r="L34" s="1"/>
      <c r="M34" s="5" t="s">
        <v>290</v>
      </c>
    </row>
    <row r="35" spans="1:13">
      <c r="A35" s="129"/>
      <c r="B35" s="123"/>
      <c r="C35" s="121"/>
      <c r="D35" s="10">
        <v>0</v>
      </c>
      <c r="E35" s="10">
        <v>2</v>
      </c>
      <c r="F35" s="8" t="s">
        <v>70</v>
      </c>
      <c r="G35" s="7">
        <f t="shared" si="1"/>
        <v>31</v>
      </c>
      <c r="H35" s="1">
        <v>2</v>
      </c>
      <c r="I35" s="4" t="s">
        <v>71</v>
      </c>
      <c r="J35" s="3">
        <v>0</v>
      </c>
      <c r="K35" s="6">
        <v>65535</v>
      </c>
      <c r="L35" s="1" t="s">
        <v>72</v>
      </c>
      <c r="M35" s="4" t="s">
        <v>73</v>
      </c>
    </row>
    <row r="36" spans="1:13" s="15" customFormat="1" ht="16" thickBot="1">
      <c r="A36" s="129"/>
      <c r="B36" s="123"/>
      <c r="C36" s="121"/>
      <c r="D36" s="16">
        <v>0</v>
      </c>
      <c r="E36" s="16">
        <v>1</v>
      </c>
      <c r="F36" s="22">
        <v>20</v>
      </c>
      <c r="G36" s="17">
        <f t="shared" si="1"/>
        <v>32</v>
      </c>
      <c r="H36" s="18">
        <v>4</v>
      </c>
      <c r="I36" s="19" t="s">
        <v>74</v>
      </c>
      <c r="J36" s="20"/>
      <c r="K36" s="20"/>
      <c r="L36" s="18"/>
      <c r="M36" s="21" t="s">
        <v>75</v>
      </c>
    </row>
    <row r="37" spans="1:13" ht="45">
      <c r="A37" s="131" t="s">
        <v>244</v>
      </c>
      <c r="B37" s="128" t="str">
        <f>DEC2HEX(C37)</f>
        <v>0</v>
      </c>
      <c r="C37" s="127">
        <f>SUMIF(D37:D44,1,E37:E44)</f>
        <v>0</v>
      </c>
      <c r="D37" s="10">
        <v>0</v>
      </c>
      <c r="E37" s="10">
        <v>128</v>
      </c>
      <c r="F37" s="8">
        <v>21</v>
      </c>
      <c r="G37" s="7">
        <f t="shared" si="1"/>
        <v>33</v>
      </c>
      <c r="H37" s="1">
        <v>2</v>
      </c>
      <c r="I37" s="4" t="s">
        <v>76</v>
      </c>
      <c r="J37" s="3">
        <v>0</v>
      </c>
      <c r="K37" s="6">
        <v>65535</v>
      </c>
      <c r="L37" s="1" t="s">
        <v>77</v>
      </c>
      <c r="M37" s="4" t="s">
        <v>73</v>
      </c>
    </row>
    <row r="38" spans="1:13" ht="30">
      <c r="A38" s="129"/>
      <c r="B38" s="123"/>
      <c r="C38" s="121"/>
      <c r="D38" s="10">
        <v>0</v>
      </c>
      <c r="E38" s="10">
        <v>64</v>
      </c>
      <c r="F38" s="8">
        <v>22</v>
      </c>
      <c r="G38" s="7">
        <f t="shared" si="1"/>
        <v>34</v>
      </c>
      <c r="H38" s="1">
        <v>2</v>
      </c>
      <c r="I38" s="5" t="s">
        <v>78</v>
      </c>
      <c r="J38" s="3">
        <v>0</v>
      </c>
      <c r="K38" s="3">
        <v>5177.2650000000003</v>
      </c>
      <c r="L38" s="1" t="s">
        <v>31</v>
      </c>
      <c r="M38" s="4" t="s">
        <v>79</v>
      </c>
    </row>
    <row r="39" spans="1:13" ht="30">
      <c r="A39" s="129"/>
      <c r="B39" s="123"/>
      <c r="C39" s="121"/>
      <c r="D39" s="10">
        <v>0</v>
      </c>
      <c r="E39" s="10">
        <v>32</v>
      </c>
      <c r="F39" s="8">
        <v>23</v>
      </c>
      <c r="G39" s="7">
        <f t="shared" si="1"/>
        <v>35</v>
      </c>
      <c r="H39" s="1">
        <v>2</v>
      </c>
      <c r="I39" s="5" t="s">
        <v>80</v>
      </c>
      <c r="J39" s="3">
        <v>0</v>
      </c>
      <c r="K39" s="6">
        <v>655350</v>
      </c>
      <c r="L39" s="1" t="s">
        <v>31</v>
      </c>
      <c r="M39" s="4" t="s">
        <v>81</v>
      </c>
    </row>
    <row r="40" spans="1:13" ht="30">
      <c r="A40" s="129"/>
      <c r="B40" s="123"/>
      <c r="C40" s="121"/>
      <c r="D40" s="10">
        <v>0</v>
      </c>
      <c r="E40" s="10">
        <v>16</v>
      </c>
      <c r="F40" s="8">
        <v>24</v>
      </c>
      <c r="G40" s="8">
        <f t="shared" si="1"/>
        <v>36</v>
      </c>
      <c r="H40" s="1">
        <v>4</v>
      </c>
      <c r="I40" s="4" t="s">
        <v>265</v>
      </c>
      <c r="J40" s="3" t="s">
        <v>266</v>
      </c>
      <c r="K40" s="3" t="s">
        <v>267</v>
      </c>
      <c r="L40" s="1" t="s">
        <v>268</v>
      </c>
      <c r="M40" s="4" t="s">
        <v>85</v>
      </c>
    </row>
    <row r="41" spans="1:13" ht="30">
      <c r="A41" s="129"/>
      <c r="B41" s="123"/>
      <c r="C41" s="121"/>
      <c r="D41" s="10">
        <v>0</v>
      </c>
      <c r="E41" s="10">
        <v>8</v>
      </c>
      <c r="F41" s="8">
        <v>25</v>
      </c>
      <c r="G41" s="8">
        <f t="shared" si="1"/>
        <v>37</v>
      </c>
      <c r="H41" s="1">
        <v>4</v>
      </c>
      <c r="I41" s="4" t="s">
        <v>275</v>
      </c>
      <c r="J41" s="3"/>
      <c r="K41" s="3"/>
      <c r="L41" s="1"/>
      <c r="M41" s="4" t="s">
        <v>86</v>
      </c>
    </row>
    <row r="42" spans="1:13" ht="30">
      <c r="A42" s="129"/>
      <c r="B42" s="123"/>
      <c r="C42" s="121"/>
      <c r="D42" s="10">
        <v>0</v>
      </c>
      <c r="E42" s="11">
        <v>4</v>
      </c>
      <c r="F42" s="8">
        <v>26</v>
      </c>
      <c r="G42" s="8">
        <f t="shared" si="1"/>
        <v>38</v>
      </c>
      <c r="H42" s="1">
        <v>4</v>
      </c>
      <c r="I42" s="4" t="s">
        <v>274</v>
      </c>
      <c r="J42" s="3"/>
      <c r="K42" s="3"/>
      <c r="L42" s="1"/>
      <c r="M42" s="4"/>
    </row>
    <row r="43" spans="1:13" ht="30">
      <c r="A43" s="129"/>
      <c r="B43" s="123"/>
      <c r="C43" s="121"/>
      <c r="D43" s="10">
        <v>0</v>
      </c>
      <c r="E43" s="11">
        <v>2</v>
      </c>
      <c r="F43" s="8">
        <v>27</v>
      </c>
      <c r="G43" s="8">
        <f t="shared" ref="G43:G68" si="2">HEX2DEC(F43)</f>
        <v>39</v>
      </c>
      <c r="H43" s="1">
        <v>4</v>
      </c>
      <c r="I43" s="4" t="s">
        <v>273</v>
      </c>
      <c r="J43" s="3"/>
      <c r="K43" s="3"/>
      <c r="L43" s="1"/>
      <c r="M43" s="4"/>
    </row>
    <row r="44" spans="1:13" ht="30">
      <c r="A44" s="129"/>
      <c r="B44" s="123"/>
      <c r="C44" s="121"/>
      <c r="D44" s="10">
        <v>0</v>
      </c>
      <c r="E44" s="10">
        <v>1</v>
      </c>
      <c r="F44" s="8">
        <v>28</v>
      </c>
      <c r="G44" s="8">
        <f t="shared" si="2"/>
        <v>40</v>
      </c>
      <c r="H44" s="1">
        <v>4</v>
      </c>
      <c r="I44" s="4" t="s">
        <v>272</v>
      </c>
      <c r="J44" s="3"/>
      <c r="K44" s="3"/>
      <c r="L44" s="1"/>
      <c r="M44" s="4"/>
    </row>
    <row r="45" spans="1:13" ht="30">
      <c r="A45" s="125" t="s">
        <v>245</v>
      </c>
      <c r="B45" s="123" t="str">
        <f>DEC2HEX(C45)</f>
        <v>0</v>
      </c>
      <c r="C45" s="121">
        <f>SUMIF(D45:D52,1,E45:E52)</f>
        <v>0</v>
      </c>
      <c r="D45" s="10">
        <v>0</v>
      </c>
      <c r="E45" s="10">
        <v>128</v>
      </c>
      <c r="F45" s="8">
        <v>29</v>
      </c>
      <c r="G45" s="8">
        <f t="shared" si="2"/>
        <v>41</v>
      </c>
      <c r="H45" s="1">
        <v>4</v>
      </c>
      <c r="I45" s="4" t="s">
        <v>271</v>
      </c>
      <c r="J45" s="3"/>
      <c r="K45" s="3"/>
      <c r="L45" s="1"/>
      <c r="M45" s="4"/>
    </row>
    <row r="46" spans="1:13" ht="30">
      <c r="A46" s="125"/>
      <c r="B46" s="123"/>
      <c r="C46" s="121"/>
      <c r="D46" s="10">
        <v>0</v>
      </c>
      <c r="E46" s="10">
        <v>64</v>
      </c>
      <c r="F46" s="8" t="s">
        <v>87</v>
      </c>
      <c r="G46" s="8">
        <f t="shared" si="2"/>
        <v>42</v>
      </c>
      <c r="H46" s="1">
        <v>4</v>
      </c>
      <c r="I46" s="4" t="s">
        <v>270</v>
      </c>
      <c r="J46" s="3"/>
      <c r="K46" s="3"/>
      <c r="L46" s="1"/>
      <c r="M46" s="4"/>
    </row>
    <row r="47" spans="1:13" ht="30">
      <c r="A47" s="125"/>
      <c r="B47" s="123"/>
      <c r="C47" s="121"/>
      <c r="D47" s="10">
        <v>0</v>
      </c>
      <c r="E47" s="10">
        <v>32</v>
      </c>
      <c r="F47" s="8" t="s">
        <v>88</v>
      </c>
      <c r="G47" s="8">
        <f t="shared" si="2"/>
        <v>43</v>
      </c>
      <c r="H47" s="1">
        <v>4</v>
      </c>
      <c r="I47" s="4" t="s">
        <v>269</v>
      </c>
      <c r="J47" s="3"/>
      <c r="K47" s="3"/>
      <c r="L47" s="1"/>
      <c r="M47" s="4"/>
    </row>
    <row r="48" spans="1:13">
      <c r="A48" s="125"/>
      <c r="B48" s="123"/>
      <c r="C48" s="121"/>
      <c r="D48" s="10">
        <v>0</v>
      </c>
      <c r="E48" s="10">
        <v>16</v>
      </c>
      <c r="F48" s="8" t="s">
        <v>89</v>
      </c>
      <c r="G48" s="7">
        <f t="shared" si="2"/>
        <v>44</v>
      </c>
      <c r="H48" s="1">
        <v>1</v>
      </c>
      <c r="I48" s="5" t="s">
        <v>90</v>
      </c>
      <c r="J48" s="3">
        <v>0</v>
      </c>
      <c r="K48" s="3">
        <v>100</v>
      </c>
      <c r="L48" s="1" t="s">
        <v>15</v>
      </c>
      <c r="M48" s="4" t="s">
        <v>53</v>
      </c>
    </row>
    <row r="49" spans="1:13">
      <c r="A49" s="125"/>
      <c r="B49" s="123"/>
      <c r="C49" s="121"/>
      <c r="D49" s="10">
        <v>0</v>
      </c>
      <c r="E49" s="10">
        <v>8</v>
      </c>
      <c r="F49" s="8" t="s">
        <v>91</v>
      </c>
      <c r="G49" s="7">
        <f t="shared" si="2"/>
        <v>45</v>
      </c>
      <c r="H49" s="1">
        <v>1</v>
      </c>
      <c r="I49" s="4" t="s">
        <v>92</v>
      </c>
      <c r="J49" s="3">
        <v>-100</v>
      </c>
      <c r="K49" s="3">
        <v>99.2</v>
      </c>
      <c r="L49" s="1" t="s">
        <v>15</v>
      </c>
      <c r="M49" s="4" t="s">
        <v>93</v>
      </c>
    </row>
    <row r="50" spans="1:13">
      <c r="A50" s="125"/>
      <c r="B50" s="123"/>
      <c r="C50" s="121"/>
      <c r="D50" s="10">
        <v>0</v>
      </c>
      <c r="E50" s="11">
        <v>4</v>
      </c>
      <c r="F50" s="8" t="s">
        <v>94</v>
      </c>
      <c r="G50" s="7">
        <f t="shared" si="2"/>
        <v>46</v>
      </c>
      <c r="H50" s="1">
        <v>1</v>
      </c>
      <c r="I50" s="4" t="s">
        <v>95</v>
      </c>
      <c r="J50" s="3">
        <v>0</v>
      </c>
      <c r="K50" s="3">
        <v>100</v>
      </c>
      <c r="L50" s="1" t="s">
        <v>15</v>
      </c>
      <c r="M50" s="4" t="s">
        <v>53</v>
      </c>
    </row>
    <row r="51" spans="1:13">
      <c r="A51" s="125"/>
      <c r="B51" s="123"/>
      <c r="C51" s="121"/>
      <c r="D51" s="10">
        <v>0</v>
      </c>
      <c r="E51" s="11">
        <v>2</v>
      </c>
      <c r="F51" s="8" t="s">
        <v>96</v>
      </c>
      <c r="G51" s="7">
        <f t="shared" si="2"/>
        <v>47</v>
      </c>
      <c r="H51" s="1">
        <v>1</v>
      </c>
      <c r="I51" s="4" t="s">
        <v>97</v>
      </c>
      <c r="J51" s="3">
        <v>0</v>
      </c>
      <c r="K51" s="3">
        <v>100</v>
      </c>
      <c r="L51" s="1" t="s">
        <v>15</v>
      </c>
      <c r="M51" s="4" t="s">
        <v>53</v>
      </c>
    </row>
    <row r="52" spans="1:13">
      <c r="A52" s="125"/>
      <c r="B52" s="123"/>
      <c r="C52" s="121"/>
      <c r="D52" s="10">
        <v>0</v>
      </c>
      <c r="E52" s="10">
        <v>1</v>
      </c>
      <c r="F52" s="8">
        <v>30</v>
      </c>
      <c r="G52" s="7">
        <f t="shared" si="2"/>
        <v>48</v>
      </c>
      <c r="H52" s="1">
        <v>1</v>
      </c>
      <c r="I52" s="4" t="s">
        <v>98</v>
      </c>
      <c r="J52" s="3">
        <v>0</v>
      </c>
      <c r="K52" s="3">
        <v>255</v>
      </c>
      <c r="L52" s="1" t="s">
        <v>99</v>
      </c>
      <c r="M52" s="4" t="s">
        <v>35</v>
      </c>
    </row>
    <row r="53" spans="1:13" ht="30">
      <c r="A53" s="125" t="s">
        <v>246</v>
      </c>
      <c r="B53" s="123" t="str">
        <f>DEC2HEX(C53)</f>
        <v>0</v>
      </c>
      <c r="C53" s="121">
        <f>SUMIF(D53:D60,1,E53:E60)</f>
        <v>0</v>
      </c>
      <c r="D53" s="10">
        <v>0</v>
      </c>
      <c r="E53" s="13">
        <v>128</v>
      </c>
      <c r="F53" s="8">
        <v>31</v>
      </c>
      <c r="G53" s="7">
        <f t="shared" si="2"/>
        <v>49</v>
      </c>
      <c r="H53" s="1">
        <v>2</v>
      </c>
      <c r="I53" s="4" t="s">
        <v>100</v>
      </c>
      <c r="J53" s="3">
        <v>0</v>
      </c>
      <c r="K53" s="6">
        <v>65535</v>
      </c>
      <c r="L53" s="1" t="s">
        <v>77</v>
      </c>
      <c r="M53" s="4" t="s">
        <v>73</v>
      </c>
    </row>
    <row r="54" spans="1:13" ht="30">
      <c r="A54" s="125"/>
      <c r="B54" s="123"/>
      <c r="C54" s="121"/>
      <c r="D54" s="10">
        <v>0</v>
      </c>
      <c r="E54" s="13">
        <v>64</v>
      </c>
      <c r="F54" s="8">
        <v>32</v>
      </c>
      <c r="G54" s="8">
        <f t="shared" si="2"/>
        <v>50</v>
      </c>
      <c r="H54" s="1">
        <v>2</v>
      </c>
      <c r="I54" s="4" t="s">
        <v>101</v>
      </c>
      <c r="J54" s="6">
        <v>-8192</v>
      </c>
      <c r="K54" s="3">
        <v>8191.75</v>
      </c>
      <c r="L54" s="1" t="s">
        <v>102</v>
      </c>
      <c r="M54" s="4" t="s">
        <v>276</v>
      </c>
    </row>
    <row r="55" spans="1:13" s="15" customFormat="1">
      <c r="A55" s="125"/>
      <c r="B55" s="123"/>
      <c r="C55" s="121"/>
      <c r="D55" s="16">
        <v>0</v>
      </c>
      <c r="E55" s="32">
        <v>32</v>
      </c>
      <c r="F55" s="22">
        <v>33</v>
      </c>
      <c r="G55" s="17">
        <f t="shared" si="2"/>
        <v>51</v>
      </c>
      <c r="H55" s="18">
        <v>1</v>
      </c>
      <c r="I55" s="19" t="s">
        <v>103</v>
      </c>
      <c r="J55" s="20">
        <v>0</v>
      </c>
      <c r="K55" s="20">
        <v>255</v>
      </c>
      <c r="L55" s="18" t="s">
        <v>31</v>
      </c>
      <c r="M55" s="19" t="s">
        <v>35</v>
      </c>
    </row>
    <row r="56" spans="1:13" ht="30">
      <c r="A56" s="125"/>
      <c r="B56" s="123"/>
      <c r="C56" s="121"/>
      <c r="D56" s="10">
        <v>0</v>
      </c>
      <c r="E56" s="13">
        <v>16</v>
      </c>
      <c r="F56" s="8">
        <v>34</v>
      </c>
      <c r="G56" s="8">
        <f t="shared" si="2"/>
        <v>52</v>
      </c>
      <c r="H56" s="1">
        <v>4</v>
      </c>
      <c r="I56" s="4" t="s">
        <v>277</v>
      </c>
      <c r="J56" s="3" t="s">
        <v>278</v>
      </c>
      <c r="K56" s="3" t="s">
        <v>279</v>
      </c>
      <c r="L56" s="1" t="s">
        <v>280</v>
      </c>
      <c r="M56" s="4" t="s">
        <v>85</v>
      </c>
    </row>
    <row r="57" spans="1:13" ht="45">
      <c r="A57" s="125"/>
      <c r="B57" s="123"/>
      <c r="C57" s="121"/>
      <c r="D57" s="10">
        <v>0</v>
      </c>
      <c r="E57" s="13">
        <v>8</v>
      </c>
      <c r="F57" s="8">
        <v>35</v>
      </c>
      <c r="G57" s="8">
        <f t="shared" si="2"/>
        <v>53</v>
      </c>
      <c r="H57" s="1">
        <v>4</v>
      </c>
      <c r="I57" s="4" t="s">
        <v>287</v>
      </c>
      <c r="J57" s="3"/>
      <c r="K57" s="3"/>
      <c r="L57" s="1"/>
      <c r="M57" s="4" t="s">
        <v>288</v>
      </c>
    </row>
    <row r="58" spans="1:13" ht="30">
      <c r="A58" s="125"/>
      <c r="B58" s="123"/>
      <c r="C58" s="121"/>
      <c r="D58" s="10">
        <v>0</v>
      </c>
      <c r="E58" s="14">
        <v>4</v>
      </c>
      <c r="F58" s="8">
        <v>36</v>
      </c>
      <c r="G58" s="8">
        <f t="shared" si="2"/>
        <v>54</v>
      </c>
      <c r="H58" s="1">
        <v>4</v>
      </c>
      <c r="I58" s="12" t="s">
        <v>286</v>
      </c>
      <c r="J58" s="3"/>
      <c r="K58" s="3"/>
      <c r="L58" s="1"/>
      <c r="M58" s="4"/>
    </row>
    <row r="59" spans="1:13" ht="30">
      <c r="A59" s="125"/>
      <c r="B59" s="123"/>
      <c r="C59" s="121"/>
      <c r="D59" s="10">
        <v>0</v>
      </c>
      <c r="E59" s="14">
        <v>2</v>
      </c>
      <c r="F59" s="8">
        <v>37</v>
      </c>
      <c r="G59" s="8">
        <f t="shared" si="2"/>
        <v>55</v>
      </c>
      <c r="H59" s="1">
        <v>4</v>
      </c>
      <c r="I59" s="12" t="s">
        <v>285</v>
      </c>
      <c r="J59" s="3"/>
      <c r="K59" s="3"/>
      <c r="L59" s="1"/>
      <c r="M59" s="4"/>
    </row>
    <row r="60" spans="1:13" ht="30">
      <c r="A60" s="125"/>
      <c r="B60" s="123"/>
      <c r="C60" s="121"/>
      <c r="D60" s="10">
        <v>0</v>
      </c>
      <c r="E60" s="13">
        <v>1</v>
      </c>
      <c r="F60" s="8">
        <v>38</v>
      </c>
      <c r="G60" s="8">
        <f t="shared" si="2"/>
        <v>56</v>
      </c>
      <c r="H60" s="1">
        <v>4</v>
      </c>
      <c r="I60" s="12" t="s">
        <v>284</v>
      </c>
      <c r="J60" s="3"/>
      <c r="K60" s="3"/>
      <c r="L60" s="1"/>
      <c r="M60" s="4"/>
    </row>
    <row r="61" spans="1:13" ht="30">
      <c r="A61" s="125" t="s">
        <v>247</v>
      </c>
      <c r="B61" s="123" t="str">
        <f>DEC2HEX(C61)</f>
        <v>1</v>
      </c>
      <c r="C61" s="121">
        <f>SUMIF(D61:D68,1,E61:E68)</f>
        <v>1</v>
      </c>
      <c r="D61" s="10">
        <v>0</v>
      </c>
      <c r="E61" s="13">
        <v>128</v>
      </c>
      <c r="F61" s="8">
        <v>39</v>
      </c>
      <c r="G61" s="8">
        <f t="shared" si="2"/>
        <v>57</v>
      </c>
      <c r="H61" s="1">
        <v>4</v>
      </c>
      <c r="I61" s="12" t="s">
        <v>283</v>
      </c>
      <c r="J61" s="3"/>
      <c r="K61" s="3"/>
      <c r="L61" s="1"/>
      <c r="M61" s="4"/>
    </row>
    <row r="62" spans="1:13" ht="30">
      <c r="A62" s="125"/>
      <c r="B62" s="123"/>
      <c r="C62" s="121"/>
      <c r="D62" s="10">
        <v>0</v>
      </c>
      <c r="E62" s="13">
        <v>64</v>
      </c>
      <c r="F62" s="8" t="s">
        <v>104</v>
      </c>
      <c r="G62" s="8">
        <f t="shared" si="2"/>
        <v>58</v>
      </c>
      <c r="H62" s="1">
        <v>4</v>
      </c>
      <c r="I62" s="12" t="s">
        <v>282</v>
      </c>
      <c r="J62" s="3"/>
      <c r="K62" s="3"/>
      <c r="L62" s="1"/>
      <c r="M62" s="4"/>
    </row>
    <row r="63" spans="1:13" ht="30">
      <c r="A63" s="125"/>
      <c r="B63" s="123"/>
      <c r="C63" s="121"/>
      <c r="D63" s="10">
        <v>0</v>
      </c>
      <c r="E63" s="13">
        <v>32</v>
      </c>
      <c r="F63" s="8" t="s">
        <v>105</v>
      </c>
      <c r="G63" s="8">
        <f t="shared" si="2"/>
        <v>59</v>
      </c>
      <c r="H63" s="1">
        <v>4</v>
      </c>
      <c r="I63" s="12" t="s">
        <v>281</v>
      </c>
      <c r="J63" s="3"/>
      <c r="K63" s="3"/>
      <c r="L63" s="1"/>
      <c r="M63" s="4"/>
    </row>
    <row r="64" spans="1:13" ht="30">
      <c r="A64" s="125"/>
      <c r="B64" s="123"/>
      <c r="C64" s="121"/>
      <c r="D64" s="10">
        <v>0</v>
      </c>
      <c r="E64" s="13">
        <v>16</v>
      </c>
      <c r="F64" s="8" t="s">
        <v>106</v>
      </c>
      <c r="G64" s="7">
        <f t="shared" si="2"/>
        <v>60</v>
      </c>
      <c r="H64" s="1">
        <v>2</v>
      </c>
      <c r="I64" s="4" t="s">
        <v>107</v>
      </c>
      <c r="J64" s="134">
        <v>-40</v>
      </c>
      <c r="K64" s="138">
        <v>6513.5</v>
      </c>
      <c r="L64" s="136" t="s">
        <v>18</v>
      </c>
      <c r="M64" s="137" t="s">
        <v>108</v>
      </c>
    </row>
    <row r="65" spans="1:13" ht="30">
      <c r="A65" s="125"/>
      <c r="B65" s="123"/>
      <c r="C65" s="121"/>
      <c r="D65" s="10">
        <v>0</v>
      </c>
      <c r="E65" s="13">
        <v>8</v>
      </c>
      <c r="F65" s="8" t="s">
        <v>109</v>
      </c>
      <c r="G65" s="7">
        <f t="shared" si="2"/>
        <v>61</v>
      </c>
      <c r="H65" s="1">
        <v>2</v>
      </c>
      <c r="I65" s="4" t="s">
        <v>110</v>
      </c>
      <c r="J65" s="134"/>
      <c r="K65" s="138"/>
      <c r="L65" s="136"/>
      <c r="M65" s="137"/>
    </row>
    <row r="66" spans="1:13" ht="30">
      <c r="A66" s="125"/>
      <c r="B66" s="123"/>
      <c r="C66" s="121"/>
      <c r="D66" s="10">
        <v>0</v>
      </c>
      <c r="E66" s="14">
        <v>4</v>
      </c>
      <c r="F66" s="8" t="s">
        <v>111</v>
      </c>
      <c r="G66" s="7">
        <f t="shared" si="2"/>
        <v>62</v>
      </c>
      <c r="H66" s="1">
        <v>2</v>
      </c>
      <c r="I66" s="4" t="s">
        <v>112</v>
      </c>
      <c r="J66" s="134"/>
      <c r="K66" s="138"/>
      <c r="L66" s="136"/>
      <c r="M66" s="137"/>
    </row>
    <row r="67" spans="1:13" ht="30">
      <c r="A67" s="125"/>
      <c r="B67" s="123"/>
      <c r="C67" s="121"/>
      <c r="D67" s="10">
        <v>0</v>
      </c>
      <c r="E67" s="14">
        <v>2</v>
      </c>
      <c r="F67" s="8" t="s">
        <v>113</v>
      </c>
      <c r="G67" s="7">
        <f t="shared" si="2"/>
        <v>63</v>
      </c>
      <c r="H67" s="1">
        <v>2</v>
      </c>
      <c r="I67" s="4" t="s">
        <v>114</v>
      </c>
      <c r="J67" s="134"/>
      <c r="K67" s="138"/>
      <c r="L67" s="136"/>
      <c r="M67" s="137"/>
    </row>
    <row r="68" spans="1:13" s="15" customFormat="1" ht="16" thickBot="1">
      <c r="A68" s="126"/>
      <c r="B68" s="124"/>
      <c r="C68" s="122"/>
      <c r="D68" s="16">
        <v>1</v>
      </c>
      <c r="E68" s="32">
        <v>1</v>
      </c>
      <c r="F68" s="22">
        <v>40</v>
      </c>
      <c r="G68" s="17">
        <f t="shared" si="2"/>
        <v>64</v>
      </c>
      <c r="H68" s="18">
        <v>4</v>
      </c>
      <c r="I68" s="19" t="s">
        <v>115</v>
      </c>
      <c r="J68" s="20"/>
      <c r="K68" s="20"/>
      <c r="L68" s="18"/>
      <c r="M68" s="21" t="s">
        <v>116</v>
      </c>
    </row>
    <row r="69" spans="1:13">
      <c r="A69" s="132" t="s">
        <v>244</v>
      </c>
      <c r="B69" s="128" t="str">
        <f>DEC2HEX(C69)</f>
        <v>0</v>
      </c>
      <c r="C69" s="127">
        <f>SUMIF(D69:D76,1,E69:E76)</f>
        <v>0</v>
      </c>
      <c r="D69" s="10">
        <v>0</v>
      </c>
      <c r="E69" s="13">
        <v>128</v>
      </c>
      <c r="F69" s="8">
        <v>41</v>
      </c>
      <c r="G69" s="7">
        <f t="shared" ref="G69:G103" si="3">HEX2DEC(F69)</f>
        <v>65</v>
      </c>
      <c r="H69" s="1">
        <v>4</v>
      </c>
      <c r="I69" s="4" t="s">
        <v>117</v>
      </c>
      <c r="J69" s="3"/>
      <c r="K69" s="3"/>
      <c r="L69" s="1"/>
      <c r="M69" s="5" t="s">
        <v>11</v>
      </c>
    </row>
    <row r="70" spans="1:13">
      <c r="A70" s="125"/>
      <c r="B70" s="123"/>
      <c r="C70" s="121"/>
      <c r="D70" s="10">
        <v>0</v>
      </c>
      <c r="E70" s="13">
        <v>64</v>
      </c>
      <c r="F70" s="8">
        <v>42</v>
      </c>
      <c r="G70" s="7">
        <f t="shared" si="3"/>
        <v>66</v>
      </c>
      <c r="H70" s="1">
        <v>2</v>
      </c>
      <c r="I70" s="4" t="s">
        <v>118</v>
      </c>
      <c r="J70" s="3">
        <v>0</v>
      </c>
      <c r="K70" s="3">
        <v>65.534999999999997</v>
      </c>
      <c r="L70" s="1" t="s">
        <v>84</v>
      </c>
      <c r="M70" s="4" t="s">
        <v>119</v>
      </c>
    </row>
    <row r="71" spans="1:13" ht="30">
      <c r="A71" s="125"/>
      <c r="B71" s="123"/>
      <c r="C71" s="121"/>
      <c r="D71" s="10">
        <v>0</v>
      </c>
      <c r="E71" s="13">
        <v>32</v>
      </c>
      <c r="F71" s="8">
        <v>43</v>
      </c>
      <c r="G71" s="7">
        <f t="shared" si="3"/>
        <v>67</v>
      </c>
      <c r="H71" s="1">
        <v>2</v>
      </c>
      <c r="I71" s="4" t="s">
        <v>120</v>
      </c>
      <c r="J71" s="3">
        <v>0</v>
      </c>
      <c r="K71" s="6">
        <v>25700</v>
      </c>
      <c r="L71" s="1" t="s">
        <v>15</v>
      </c>
      <c r="M71" s="4" t="s">
        <v>121</v>
      </c>
    </row>
    <row r="72" spans="1:13" ht="30">
      <c r="A72" s="125"/>
      <c r="B72" s="123"/>
      <c r="C72" s="121"/>
      <c r="D72" s="10">
        <v>0</v>
      </c>
      <c r="E72" s="13">
        <v>16</v>
      </c>
      <c r="F72" s="8">
        <v>44</v>
      </c>
      <c r="G72" s="7">
        <f t="shared" si="3"/>
        <v>68</v>
      </c>
      <c r="H72" s="1">
        <v>2</v>
      </c>
      <c r="I72" s="4" t="s">
        <v>122</v>
      </c>
      <c r="J72" s="3">
        <v>0</v>
      </c>
      <c r="K72" s="3" t="s">
        <v>82</v>
      </c>
      <c r="L72" s="1" t="s">
        <v>83</v>
      </c>
      <c r="M72" s="4" t="s">
        <v>123</v>
      </c>
    </row>
    <row r="73" spans="1:13">
      <c r="A73" s="125"/>
      <c r="B73" s="123"/>
      <c r="C73" s="121"/>
      <c r="D73" s="10">
        <v>0</v>
      </c>
      <c r="E73" s="13">
        <v>8</v>
      </c>
      <c r="F73" s="8">
        <v>45</v>
      </c>
      <c r="G73" s="7">
        <f t="shared" si="3"/>
        <v>69</v>
      </c>
      <c r="H73" s="1">
        <v>1</v>
      </c>
      <c r="I73" s="4" t="s">
        <v>124</v>
      </c>
      <c r="J73" s="3">
        <v>0</v>
      </c>
      <c r="K73" s="3">
        <v>100</v>
      </c>
      <c r="L73" s="1" t="s">
        <v>15</v>
      </c>
      <c r="M73" s="4" t="s">
        <v>53</v>
      </c>
    </row>
    <row r="74" spans="1:13" s="40" customFormat="1">
      <c r="A74" s="125"/>
      <c r="B74" s="123"/>
      <c r="C74" s="121"/>
      <c r="D74" s="87">
        <v>0</v>
      </c>
      <c r="E74" s="98">
        <v>4</v>
      </c>
      <c r="F74" s="88">
        <v>46</v>
      </c>
      <c r="G74" s="67">
        <f t="shared" si="3"/>
        <v>70</v>
      </c>
      <c r="H74" s="89">
        <v>1</v>
      </c>
      <c r="I74" s="90" t="s">
        <v>125</v>
      </c>
      <c r="J74" s="91">
        <v>-40</v>
      </c>
      <c r="K74" s="91">
        <v>215</v>
      </c>
      <c r="L74" s="89" t="s">
        <v>18</v>
      </c>
      <c r="M74" s="90" t="s">
        <v>19</v>
      </c>
    </row>
    <row r="75" spans="1:13" s="15" customFormat="1">
      <c r="A75" s="125"/>
      <c r="B75" s="123"/>
      <c r="C75" s="121"/>
      <c r="D75" s="87">
        <v>0</v>
      </c>
      <c r="E75" s="98">
        <v>2</v>
      </c>
      <c r="F75" s="88">
        <v>47</v>
      </c>
      <c r="G75" s="67">
        <f t="shared" si="3"/>
        <v>71</v>
      </c>
      <c r="H75" s="89">
        <v>1</v>
      </c>
      <c r="I75" s="90" t="s">
        <v>126</v>
      </c>
      <c r="J75" s="134">
        <v>0</v>
      </c>
      <c r="K75" s="134">
        <v>100</v>
      </c>
      <c r="L75" s="136" t="s">
        <v>15</v>
      </c>
      <c r="M75" s="137" t="s">
        <v>127</v>
      </c>
    </row>
    <row r="76" spans="1:13" s="15" customFormat="1">
      <c r="A76" s="125"/>
      <c r="B76" s="123"/>
      <c r="C76" s="121"/>
      <c r="D76" s="87">
        <v>0</v>
      </c>
      <c r="E76" s="65">
        <v>1</v>
      </c>
      <c r="F76" s="88">
        <v>48</v>
      </c>
      <c r="G76" s="67">
        <f t="shared" si="3"/>
        <v>72</v>
      </c>
      <c r="H76" s="89">
        <v>1</v>
      </c>
      <c r="I76" s="90" t="s">
        <v>128</v>
      </c>
      <c r="J76" s="134"/>
      <c r="K76" s="134"/>
      <c r="L76" s="136"/>
      <c r="M76" s="137"/>
    </row>
    <row r="77" spans="1:13">
      <c r="A77" s="125" t="s">
        <v>245</v>
      </c>
      <c r="B77" s="123" t="str">
        <f>DEC2HEX(C77)</f>
        <v>0</v>
      </c>
      <c r="C77" s="121">
        <f>SUMIF(D77:D84,1,E77:E84)</f>
        <v>0</v>
      </c>
      <c r="D77" s="10">
        <v>0</v>
      </c>
      <c r="E77" s="13">
        <v>128</v>
      </c>
      <c r="F77" s="8">
        <v>49</v>
      </c>
      <c r="G77" s="7">
        <f t="shared" si="3"/>
        <v>73</v>
      </c>
      <c r="H77" s="1">
        <v>1</v>
      </c>
      <c r="I77" s="4" t="s">
        <v>129</v>
      </c>
      <c r="J77" s="134"/>
      <c r="K77" s="134"/>
      <c r="L77" s="136"/>
      <c r="M77" s="137"/>
    </row>
    <row r="78" spans="1:13">
      <c r="A78" s="125"/>
      <c r="B78" s="123"/>
      <c r="C78" s="121"/>
      <c r="D78" s="10">
        <v>0</v>
      </c>
      <c r="E78" s="13">
        <v>64</v>
      </c>
      <c r="F78" s="8" t="s">
        <v>130</v>
      </c>
      <c r="G78" s="7">
        <f t="shared" si="3"/>
        <v>74</v>
      </c>
      <c r="H78" s="1">
        <v>1</v>
      </c>
      <c r="I78" s="4" t="s">
        <v>131</v>
      </c>
      <c r="J78" s="134"/>
      <c r="K78" s="134"/>
      <c r="L78" s="136"/>
      <c r="M78" s="137"/>
    </row>
    <row r="79" spans="1:13">
      <c r="A79" s="125"/>
      <c r="B79" s="123"/>
      <c r="C79" s="121"/>
      <c r="D79" s="10">
        <v>0</v>
      </c>
      <c r="E79" s="13">
        <v>32</v>
      </c>
      <c r="F79" s="8" t="s">
        <v>132</v>
      </c>
      <c r="G79" s="7">
        <f t="shared" si="3"/>
        <v>75</v>
      </c>
      <c r="H79" s="1">
        <v>1</v>
      </c>
      <c r="I79" s="4" t="s">
        <v>133</v>
      </c>
      <c r="J79" s="134"/>
      <c r="K79" s="134"/>
      <c r="L79" s="136"/>
      <c r="M79" s="137"/>
    </row>
    <row r="80" spans="1:13">
      <c r="A80" s="125"/>
      <c r="B80" s="123"/>
      <c r="C80" s="121"/>
      <c r="D80" s="10">
        <v>0</v>
      </c>
      <c r="E80" s="13">
        <v>16</v>
      </c>
      <c r="F80" s="8" t="s">
        <v>134</v>
      </c>
      <c r="G80" s="7">
        <f t="shared" si="3"/>
        <v>76</v>
      </c>
      <c r="H80" s="1">
        <v>1</v>
      </c>
      <c r="I80" s="4" t="s">
        <v>135</v>
      </c>
      <c r="J80" s="134"/>
      <c r="K80" s="134"/>
      <c r="L80" s="136"/>
      <c r="M80" s="137"/>
    </row>
    <row r="81" spans="1:13">
      <c r="A81" s="125"/>
      <c r="B81" s="123"/>
      <c r="C81" s="121"/>
      <c r="D81" s="10">
        <v>0</v>
      </c>
      <c r="E81" s="13">
        <v>8</v>
      </c>
      <c r="F81" s="8" t="s">
        <v>136</v>
      </c>
      <c r="G81" s="7">
        <f t="shared" si="3"/>
        <v>77</v>
      </c>
      <c r="H81" s="1">
        <v>2</v>
      </c>
      <c r="I81" s="4" t="s">
        <v>137</v>
      </c>
      <c r="J81" s="134">
        <v>0</v>
      </c>
      <c r="K81" s="135">
        <v>65535</v>
      </c>
      <c r="L81" s="136" t="s">
        <v>138</v>
      </c>
      <c r="M81" s="137" t="s">
        <v>73</v>
      </c>
    </row>
    <row r="82" spans="1:13">
      <c r="A82" s="125"/>
      <c r="B82" s="123"/>
      <c r="C82" s="121"/>
      <c r="D82" s="10">
        <v>0</v>
      </c>
      <c r="E82" s="14">
        <v>4</v>
      </c>
      <c r="F82" s="8" t="s">
        <v>139</v>
      </c>
      <c r="G82" s="7">
        <f t="shared" si="3"/>
        <v>78</v>
      </c>
      <c r="H82" s="1">
        <v>2</v>
      </c>
      <c r="I82" s="4" t="s">
        <v>140</v>
      </c>
      <c r="J82" s="134"/>
      <c r="K82" s="135"/>
      <c r="L82" s="136"/>
      <c r="M82" s="137"/>
    </row>
    <row r="83" spans="1:13" ht="75">
      <c r="A83" s="125"/>
      <c r="B83" s="123"/>
      <c r="C83" s="121"/>
      <c r="D83" s="10">
        <v>0</v>
      </c>
      <c r="E83" s="14">
        <v>2</v>
      </c>
      <c r="F83" s="8" t="s">
        <v>141</v>
      </c>
      <c r="G83" s="7">
        <f t="shared" si="3"/>
        <v>79</v>
      </c>
      <c r="H83" s="1">
        <v>4</v>
      </c>
      <c r="I83" s="4" t="s">
        <v>142</v>
      </c>
      <c r="J83" s="3" t="s">
        <v>143</v>
      </c>
      <c r="K83" s="3" t="s">
        <v>144</v>
      </c>
      <c r="L83" s="1" t="s">
        <v>145</v>
      </c>
      <c r="M83" s="4" t="s">
        <v>146</v>
      </c>
    </row>
    <row r="84" spans="1:13" ht="30">
      <c r="A84" s="125"/>
      <c r="B84" s="123"/>
      <c r="C84" s="121"/>
      <c r="D84" s="10">
        <v>0</v>
      </c>
      <c r="E84" s="13">
        <v>1</v>
      </c>
      <c r="F84" s="8">
        <v>50</v>
      </c>
      <c r="G84" s="7">
        <f t="shared" si="3"/>
        <v>80</v>
      </c>
      <c r="H84" s="1">
        <v>4</v>
      </c>
      <c r="I84" s="4" t="s">
        <v>147</v>
      </c>
      <c r="J84" s="3">
        <v>0</v>
      </c>
      <c r="K84" s="3">
        <v>2550</v>
      </c>
      <c r="L84" s="1" t="s">
        <v>148</v>
      </c>
      <c r="M84" s="4" t="s">
        <v>149</v>
      </c>
    </row>
    <row r="85" spans="1:13">
      <c r="A85" s="125" t="s">
        <v>246</v>
      </c>
      <c r="B85" s="123" t="str">
        <f>DEC2HEX(C85)</f>
        <v>0</v>
      </c>
      <c r="C85" s="121">
        <f>SUMIF(D85:D92,1,E85:E92)</f>
        <v>0</v>
      </c>
      <c r="D85" s="10">
        <v>0</v>
      </c>
      <c r="E85" s="13">
        <v>128</v>
      </c>
      <c r="F85" s="8">
        <v>51</v>
      </c>
      <c r="G85" s="7">
        <f t="shared" si="3"/>
        <v>81</v>
      </c>
      <c r="H85" s="1">
        <v>1</v>
      </c>
      <c r="I85" s="4" t="s">
        <v>150</v>
      </c>
      <c r="J85" s="3"/>
      <c r="K85" s="3"/>
      <c r="L85" s="1"/>
      <c r="M85" s="5" t="s">
        <v>151</v>
      </c>
    </row>
    <row r="86" spans="1:13">
      <c r="A86" s="125"/>
      <c r="B86" s="123"/>
      <c r="C86" s="121"/>
      <c r="D86" s="10">
        <v>0</v>
      </c>
      <c r="E86" s="13">
        <v>64</v>
      </c>
      <c r="F86" s="8">
        <v>52</v>
      </c>
      <c r="G86" s="7">
        <f t="shared" si="3"/>
        <v>82</v>
      </c>
      <c r="H86" s="1">
        <v>1</v>
      </c>
      <c r="I86" s="4" t="s">
        <v>152</v>
      </c>
      <c r="J86" s="3">
        <v>0</v>
      </c>
      <c r="K86" s="3">
        <v>100</v>
      </c>
      <c r="L86" s="1" t="s">
        <v>15</v>
      </c>
      <c r="M86" s="4" t="s">
        <v>53</v>
      </c>
    </row>
    <row r="87" spans="1:13" ht="30">
      <c r="A87" s="125"/>
      <c r="B87" s="123"/>
      <c r="C87" s="121"/>
      <c r="D87" s="10">
        <v>0</v>
      </c>
      <c r="E87" s="13">
        <v>32</v>
      </c>
      <c r="F87" s="8">
        <v>53</v>
      </c>
      <c r="G87" s="7">
        <f t="shared" si="3"/>
        <v>83</v>
      </c>
      <c r="H87" s="1">
        <v>2</v>
      </c>
      <c r="I87" s="4" t="s">
        <v>153</v>
      </c>
      <c r="J87" s="3">
        <v>0</v>
      </c>
      <c r="K87" s="3">
        <v>327.67500000000001</v>
      </c>
      <c r="L87" s="1" t="s">
        <v>31</v>
      </c>
      <c r="M87" s="4" t="s">
        <v>154</v>
      </c>
    </row>
    <row r="88" spans="1:13">
      <c r="A88" s="125"/>
      <c r="B88" s="123"/>
      <c r="C88" s="121"/>
      <c r="D88" s="10">
        <v>0</v>
      </c>
      <c r="E88" s="13">
        <v>16</v>
      </c>
      <c r="F88" s="8">
        <v>54</v>
      </c>
      <c r="G88" s="7">
        <f t="shared" si="3"/>
        <v>84</v>
      </c>
      <c r="H88" s="1">
        <v>2</v>
      </c>
      <c r="I88" s="4" t="s">
        <v>155</v>
      </c>
      <c r="J88" s="6">
        <v>-32767</v>
      </c>
      <c r="K88" s="6">
        <v>32768</v>
      </c>
      <c r="L88" s="1" t="s">
        <v>102</v>
      </c>
      <c r="M88" s="4" t="s">
        <v>156</v>
      </c>
    </row>
    <row r="89" spans="1:13" ht="30">
      <c r="A89" s="125"/>
      <c r="B89" s="123"/>
      <c r="C89" s="121"/>
      <c r="D89" s="10">
        <v>0</v>
      </c>
      <c r="E89" s="13">
        <v>8</v>
      </c>
      <c r="F89" s="8">
        <v>55</v>
      </c>
      <c r="G89" s="7">
        <f t="shared" si="3"/>
        <v>85</v>
      </c>
      <c r="H89" s="1">
        <v>2</v>
      </c>
      <c r="I89" s="4" t="s">
        <v>157</v>
      </c>
      <c r="J89" s="134">
        <v>-100</v>
      </c>
      <c r="K89" s="134">
        <v>99.2</v>
      </c>
      <c r="L89" s="136" t="s">
        <v>15</v>
      </c>
      <c r="M89" s="4" t="s">
        <v>158</v>
      </c>
    </row>
    <row r="90" spans="1:13" ht="30">
      <c r="A90" s="125"/>
      <c r="B90" s="123"/>
      <c r="C90" s="121"/>
      <c r="D90" s="10">
        <v>0</v>
      </c>
      <c r="E90" s="14">
        <v>4</v>
      </c>
      <c r="F90" s="8">
        <v>56</v>
      </c>
      <c r="G90" s="7">
        <f t="shared" si="3"/>
        <v>86</v>
      </c>
      <c r="H90" s="1">
        <v>2</v>
      </c>
      <c r="I90" s="4" t="s">
        <v>160</v>
      </c>
      <c r="J90" s="134"/>
      <c r="K90" s="134"/>
      <c r="L90" s="136"/>
      <c r="M90" s="4"/>
    </row>
    <row r="91" spans="1:13" ht="30">
      <c r="A91" s="125"/>
      <c r="B91" s="123"/>
      <c r="C91" s="121"/>
      <c r="D91" s="10">
        <v>0</v>
      </c>
      <c r="E91" s="14">
        <v>2</v>
      </c>
      <c r="F91" s="8">
        <v>57</v>
      </c>
      <c r="G91" s="7">
        <f t="shared" si="3"/>
        <v>87</v>
      </c>
      <c r="H91" s="1">
        <v>2</v>
      </c>
      <c r="I91" s="4" t="s">
        <v>161</v>
      </c>
      <c r="J91" s="134"/>
      <c r="K91" s="134"/>
      <c r="L91" s="136"/>
      <c r="M91" s="4" t="s">
        <v>159</v>
      </c>
    </row>
    <row r="92" spans="1:13" ht="30">
      <c r="A92" s="125"/>
      <c r="B92" s="123"/>
      <c r="C92" s="121"/>
      <c r="D92" s="10">
        <v>0</v>
      </c>
      <c r="E92" s="13">
        <v>1</v>
      </c>
      <c r="F92" s="8">
        <v>58</v>
      </c>
      <c r="G92" s="7">
        <f t="shared" si="3"/>
        <v>88</v>
      </c>
      <c r="H92" s="1">
        <v>2</v>
      </c>
      <c r="I92" s="4" t="s">
        <v>162</v>
      </c>
      <c r="J92" s="134"/>
      <c r="K92" s="134"/>
      <c r="L92" s="136"/>
      <c r="M92" s="4"/>
    </row>
    <row r="93" spans="1:13">
      <c r="A93" s="125" t="s">
        <v>247</v>
      </c>
      <c r="B93" s="123" t="str">
        <f>DEC2HEX(C93)</f>
        <v>1</v>
      </c>
      <c r="C93" s="121">
        <f>SUMIF(D93:D100,1,E93:E100)</f>
        <v>1</v>
      </c>
      <c r="D93" s="10">
        <v>0</v>
      </c>
      <c r="E93" s="13">
        <v>128</v>
      </c>
      <c r="F93" s="8">
        <v>59</v>
      </c>
      <c r="G93" s="7">
        <f t="shared" si="3"/>
        <v>89</v>
      </c>
      <c r="H93" s="1">
        <v>2</v>
      </c>
      <c r="I93" s="5" t="s">
        <v>163</v>
      </c>
      <c r="J93" s="3">
        <v>0</v>
      </c>
      <c r="K93" s="6">
        <v>655350</v>
      </c>
      <c r="L93" s="1" t="s">
        <v>31</v>
      </c>
      <c r="M93" s="4" t="s">
        <v>81</v>
      </c>
    </row>
    <row r="94" spans="1:13">
      <c r="A94" s="125"/>
      <c r="B94" s="123"/>
      <c r="C94" s="121"/>
      <c r="D94" s="10">
        <v>0</v>
      </c>
      <c r="E94" s="13">
        <v>64</v>
      </c>
      <c r="F94" s="8" t="s">
        <v>164</v>
      </c>
      <c r="G94" s="7">
        <f t="shared" si="3"/>
        <v>90</v>
      </c>
      <c r="H94" s="1">
        <v>1</v>
      </c>
      <c r="I94" s="4" t="s">
        <v>165</v>
      </c>
      <c r="J94" s="3">
        <v>0</v>
      </c>
      <c r="K94" s="3">
        <v>100</v>
      </c>
      <c r="L94" s="1" t="s">
        <v>15</v>
      </c>
      <c r="M94" s="4" t="s">
        <v>53</v>
      </c>
    </row>
    <row r="95" spans="1:13">
      <c r="A95" s="125"/>
      <c r="B95" s="123"/>
      <c r="C95" s="121"/>
      <c r="D95" s="10">
        <v>0</v>
      </c>
      <c r="E95" s="13">
        <v>32</v>
      </c>
      <c r="F95" s="8" t="s">
        <v>166</v>
      </c>
      <c r="G95" s="7">
        <f t="shared" si="3"/>
        <v>91</v>
      </c>
      <c r="H95" s="1">
        <v>1</v>
      </c>
      <c r="I95" s="4" t="s">
        <v>167</v>
      </c>
      <c r="J95" s="3">
        <v>0</v>
      </c>
      <c r="K95" s="3">
        <v>100</v>
      </c>
      <c r="L95" s="1" t="s">
        <v>15</v>
      </c>
      <c r="M95" s="4" t="s">
        <v>53</v>
      </c>
    </row>
    <row r="96" spans="1:13" s="40" customFormat="1">
      <c r="A96" s="125"/>
      <c r="B96" s="123"/>
      <c r="C96" s="121"/>
      <c r="D96" s="57">
        <v>0</v>
      </c>
      <c r="E96" s="65">
        <v>16</v>
      </c>
      <c r="F96" s="66" t="s">
        <v>168</v>
      </c>
      <c r="G96" s="67">
        <f t="shared" si="3"/>
        <v>92</v>
      </c>
      <c r="H96" s="68">
        <v>1</v>
      </c>
      <c r="I96" s="69" t="s">
        <v>169</v>
      </c>
      <c r="J96" s="70">
        <v>-40</v>
      </c>
      <c r="K96" s="70">
        <v>210</v>
      </c>
      <c r="L96" s="68" t="s">
        <v>18</v>
      </c>
      <c r="M96" s="69" t="s">
        <v>19</v>
      </c>
    </row>
    <row r="97" spans="1:13" s="30" customFormat="1" ht="30">
      <c r="A97" s="125"/>
      <c r="B97" s="123"/>
      <c r="C97" s="121"/>
      <c r="D97" s="24">
        <v>0</v>
      </c>
      <c r="E97" s="31">
        <v>8</v>
      </c>
      <c r="F97" s="25" t="s">
        <v>170</v>
      </c>
      <c r="G97" s="26">
        <f t="shared" si="3"/>
        <v>93</v>
      </c>
      <c r="H97" s="27">
        <v>2</v>
      </c>
      <c r="I97" s="28" t="s">
        <v>171</v>
      </c>
      <c r="J97" s="29">
        <v>-210</v>
      </c>
      <c r="K97" s="29">
        <v>301.99200000000002</v>
      </c>
      <c r="L97" s="27" t="s">
        <v>172</v>
      </c>
      <c r="M97" s="28" t="s">
        <v>173</v>
      </c>
    </row>
    <row r="98" spans="1:13">
      <c r="A98" s="125"/>
      <c r="B98" s="123"/>
      <c r="C98" s="121"/>
      <c r="D98" s="10">
        <v>0</v>
      </c>
      <c r="E98" s="14">
        <v>4</v>
      </c>
      <c r="F98" s="8" t="s">
        <v>174</v>
      </c>
      <c r="G98" s="7">
        <f t="shared" si="3"/>
        <v>94</v>
      </c>
      <c r="H98" s="1">
        <v>2</v>
      </c>
      <c r="I98" s="4" t="s">
        <v>175</v>
      </c>
      <c r="J98" s="3">
        <v>0</v>
      </c>
      <c r="K98" s="3">
        <v>3276.75</v>
      </c>
      <c r="L98" s="1" t="s">
        <v>176</v>
      </c>
      <c r="M98" s="4" t="s">
        <v>177</v>
      </c>
    </row>
    <row r="99" spans="1:13" ht="30">
      <c r="A99" s="125"/>
      <c r="B99" s="123"/>
      <c r="C99" s="121"/>
      <c r="D99" s="10">
        <v>0</v>
      </c>
      <c r="E99" s="14">
        <v>2</v>
      </c>
      <c r="F99" s="8" t="s">
        <v>178</v>
      </c>
      <c r="G99" s="7">
        <f t="shared" si="3"/>
        <v>95</v>
      </c>
      <c r="H99" s="1">
        <v>1</v>
      </c>
      <c r="I99" s="4" t="s">
        <v>179</v>
      </c>
      <c r="J99" s="3"/>
      <c r="K99" s="3"/>
      <c r="L99" s="1"/>
      <c r="M99" s="4" t="s">
        <v>180</v>
      </c>
    </row>
    <row r="100" spans="1:13" s="15" customFormat="1" ht="16" thickBot="1">
      <c r="A100" s="125"/>
      <c r="B100" s="123"/>
      <c r="C100" s="121"/>
      <c r="D100" s="16">
        <v>1</v>
      </c>
      <c r="E100" s="32">
        <v>1</v>
      </c>
      <c r="F100" s="22">
        <v>60</v>
      </c>
      <c r="G100" s="17">
        <f t="shared" si="3"/>
        <v>96</v>
      </c>
      <c r="H100" s="18">
        <v>4</v>
      </c>
      <c r="I100" s="19" t="s">
        <v>181</v>
      </c>
      <c r="J100" s="20"/>
      <c r="K100" s="20"/>
      <c r="L100" s="18"/>
      <c r="M100" s="21" t="s">
        <v>182</v>
      </c>
    </row>
    <row r="101" spans="1:13" ht="30">
      <c r="A101" s="132" t="s">
        <v>244</v>
      </c>
      <c r="B101" s="128" t="str">
        <f>DEC2HEX(C101)</f>
        <v>0</v>
      </c>
      <c r="C101" s="127">
        <f>SUMIF(D101:D108,1,E101:E108)</f>
        <v>0</v>
      </c>
      <c r="D101" s="10">
        <v>0</v>
      </c>
      <c r="E101" s="13">
        <v>128</v>
      </c>
      <c r="F101" s="8">
        <v>61</v>
      </c>
      <c r="G101" s="7">
        <f t="shared" si="3"/>
        <v>97</v>
      </c>
      <c r="H101" s="1">
        <v>1</v>
      </c>
      <c r="I101" s="4" t="s">
        <v>183</v>
      </c>
      <c r="J101" s="3">
        <v>-125</v>
      </c>
      <c r="K101" s="3">
        <v>125</v>
      </c>
      <c r="L101" s="1" t="s">
        <v>15</v>
      </c>
      <c r="M101" s="4" t="s">
        <v>184</v>
      </c>
    </row>
    <row r="102" spans="1:13">
      <c r="A102" s="125"/>
      <c r="B102" s="123"/>
      <c r="C102" s="121"/>
      <c r="D102" s="10">
        <v>0</v>
      </c>
      <c r="E102" s="13">
        <v>64</v>
      </c>
      <c r="F102" s="8">
        <v>62</v>
      </c>
      <c r="G102" s="7">
        <f t="shared" si="3"/>
        <v>98</v>
      </c>
      <c r="H102" s="1">
        <v>1</v>
      </c>
      <c r="I102" s="4" t="s">
        <v>185</v>
      </c>
      <c r="J102" s="3">
        <v>-125</v>
      </c>
      <c r="K102" s="3">
        <v>125</v>
      </c>
      <c r="L102" s="1" t="s">
        <v>15</v>
      </c>
      <c r="M102" s="4" t="s">
        <v>184</v>
      </c>
    </row>
    <row r="103" spans="1:13">
      <c r="A103" s="125"/>
      <c r="B103" s="123"/>
      <c r="C103" s="121"/>
      <c r="D103" s="10">
        <v>0</v>
      </c>
      <c r="E103" s="13">
        <v>32</v>
      </c>
      <c r="F103" s="8">
        <v>63</v>
      </c>
      <c r="G103" s="7">
        <f t="shared" si="3"/>
        <v>99</v>
      </c>
      <c r="H103" s="1">
        <v>2</v>
      </c>
      <c r="I103" s="4" t="s">
        <v>186</v>
      </c>
      <c r="J103" s="3">
        <v>0</v>
      </c>
      <c r="K103" s="6">
        <v>65535</v>
      </c>
      <c r="L103" s="1" t="s">
        <v>187</v>
      </c>
      <c r="M103" s="4" t="s">
        <v>73</v>
      </c>
    </row>
    <row r="104" spans="1:13" ht="30">
      <c r="A104" s="125"/>
      <c r="B104" s="123"/>
      <c r="C104" s="121"/>
      <c r="D104" s="10">
        <v>0</v>
      </c>
      <c r="E104" s="13">
        <v>16</v>
      </c>
      <c r="F104" s="8">
        <v>64</v>
      </c>
      <c r="G104" s="8">
        <f>HEX2DEC(F104)</f>
        <v>100</v>
      </c>
      <c r="H104" s="1">
        <v>5</v>
      </c>
      <c r="I104" s="4" t="s">
        <v>188</v>
      </c>
      <c r="J104" s="3">
        <v>-125</v>
      </c>
      <c r="K104" s="3">
        <v>125</v>
      </c>
      <c r="L104" s="1" t="s">
        <v>15</v>
      </c>
      <c r="M104" s="4" t="s">
        <v>289</v>
      </c>
    </row>
    <row r="105" spans="1:13">
      <c r="A105" s="125"/>
      <c r="B105" s="123"/>
      <c r="C105" s="121"/>
      <c r="D105" s="10">
        <v>0</v>
      </c>
      <c r="E105" s="13">
        <v>8</v>
      </c>
      <c r="F105" s="8">
        <v>65</v>
      </c>
      <c r="G105" s="7">
        <f t="shared" ref="G105:G200" si="4">HEX2DEC(F105)</f>
        <v>101</v>
      </c>
      <c r="H105" s="1">
        <v>2</v>
      </c>
      <c r="I105" s="4" t="s">
        <v>189</v>
      </c>
      <c r="J105" s="3"/>
      <c r="K105" s="3"/>
      <c r="L105" s="1"/>
      <c r="M105" s="4" t="s">
        <v>180</v>
      </c>
    </row>
    <row r="106" spans="1:13">
      <c r="A106" s="125"/>
      <c r="B106" s="123"/>
      <c r="C106" s="121"/>
      <c r="D106" s="10">
        <v>0</v>
      </c>
      <c r="E106" s="14">
        <v>4</v>
      </c>
      <c r="F106" s="8">
        <v>66</v>
      </c>
      <c r="G106" s="7">
        <f t="shared" si="4"/>
        <v>102</v>
      </c>
      <c r="H106" s="1">
        <v>5</v>
      </c>
      <c r="I106" s="4" t="s">
        <v>190</v>
      </c>
      <c r="J106" s="3"/>
      <c r="K106" s="3"/>
      <c r="L106" s="1"/>
      <c r="M106" s="4"/>
    </row>
    <row r="107" spans="1:13" s="15" customFormat="1">
      <c r="A107" s="125"/>
      <c r="B107" s="123"/>
      <c r="C107" s="121"/>
      <c r="D107" s="16">
        <v>0</v>
      </c>
      <c r="E107" s="33">
        <v>2</v>
      </c>
      <c r="F107" s="22">
        <v>67</v>
      </c>
      <c r="G107" s="17">
        <f t="shared" si="4"/>
        <v>103</v>
      </c>
      <c r="H107" s="18">
        <v>3</v>
      </c>
      <c r="I107" s="19" t="s">
        <v>17</v>
      </c>
      <c r="J107" s="20"/>
      <c r="K107" s="20"/>
      <c r="L107" s="18"/>
      <c r="M107" s="19"/>
    </row>
    <row r="108" spans="1:13" s="30" customFormat="1">
      <c r="A108" s="125"/>
      <c r="B108" s="123"/>
      <c r="C108" s="121"/>
      <c r="D108" s="24">
        <v>0</v>
      </c>
      <c r="E108" s="31">
        <v>1</v>
      </c>
      <c r="F108" s="25">
        <v>68</v>
      </c>
      <c r="G108" s="26">
        <f t="shared" si="4"/>
        <v>104</v>
      </c>
      <c r="H108" s="27">
        <v>7</v>
      </c>
      <c r="I108" s="28" t="s">
        <v>191</v>
      </c>
      <c r="J108" s="29"/>
      <c r="K108" s="29"/>
      <c r="L108" s="27"/>
      <c r="M108" s="28"/>
    </row>
    <row r="109" spans="1:13">
      <c r="A109" s="125" t="s">
        <v>245</v>
      </c>
      <c r="B109" s="123" t="str">
        <f>DEC2HEX(C109)</f>
        <v>0</v>
      </c>
      <c r="C109" s="121">
        <f>SUMIF(D109:D116,1,E109:E116)</f>
        <v>0</v>
      </c>
      <c r="D109" s="10">
        <v>0</v>
      </c>
      <c r="E109" s="13">
        <v>128</v>
      </c>
      <c r="F109" s="8">
        <v>69</v>
      </c>
      <c r="G109" s="7">
        <f t="shared" si="4"/>
        <v>105</v>
      </c>
      <c r="H109" s="1">
        <v>7</v>
      </c>
      <c r="I109" s="4" t="s">
        <v>192</v>
      </c>
      <c r="J109" s="3"/>
      <c r="K109" s="3"/>
      <c r="L109" s="1"/>
      <c r="M109" s="4"/>
    </row>
    <row r="110" spans="1:13" ht="45">
      <c r="A110" s="125"/>
      <c r="B110" s="123"/>
      <c r="C110" s="121"/>
      <c r="D110" s="10">
        <v>0</v>
      </c>
      <c r="E110" s="13">
        <v>64</v>
      </c>
      <c r="F110" s="8" t="s">
        <v>193</v>
      </c>
      <c r="G110" s="7">
        <f t="shared" si="4"/>
        <v>106</v>
      </c>
      <c r="H110" s="1">
        <v>5</v>
      </c>
      <c r="I110" s="4" t="s">
        <v>194</v>
      </c>
      <c r="J110" s="3"/>
      <c r="K110" s="3"/>
      <c r="L110" s="1"/>
      <c r="M110" s="4"/>
    </row>
    <row r="111" spans="1:13" ht="30">
      <c r="A111" s="125"/>
      <c r="B111" s="123"/>
      <c r="C111" s="121"/>
      <c r="D111" s="10">
        <v>0</v>
      </c>
      <c r="E111" s="13">
        <v>32</v>
      </c>
      <c r="F111" s="8" t="s">
        <v>195</v>
      </c>
      <c r="G111" s="7">
        <f t="shared" si="4"/>
        <v>107</v>
      </c>
      <c r="H111" s="1">
        <v>5</v>
      </c>
      <c r="I111" s="4" t="s">
        <v>196</v>
      </c>
      <c r="J111" s="3"/>
      <c r="K111" s="3"/>
      <c r="L111" s="1"/>
      <c r="M111" s="4"/>
    </row>
    <row r="112" spans="1:13" ht="45">
      <c r="A112" s="125"/>
      <c r="B112" s="123"/>
      <c r="C112" s="121"/>
      <c r="D112" s="10">
        <v>0</v>
      </c>
      <c r="E112" s="13">
        <v>16</v>
      </c>
      <c r="F112" s="8" t="s">
        <v>197</v>
      </c>
      <c r="G112" s="7">
        <f t="shared" si="4"/>
        <v>108</v>
      </c>
      <c r="H112" s="1">
        <v>5</v>
      </c>
      <c r="I112" s="4" t="s">
        <v>198</v>
      </c>
      <c r="J112" s="3"/>
      <c r="K112" s="3"/>
      <c r="L112" s="1"/>
      <c r="M112" s="4"/>
    </row>
    <row r="113" spans="1:13">
      <c r="A113" s="125"/>
      <c r="B113" s="123"/>
      <c r="C113" s="121"/>
      <c r="D113" s="10">
        <v>0</v>
      </c>
      <c r="E113" s="13">
        <v>8</v>
      </c>
      <c r="F113" s="8" t="s">
        <v>199</v>
      </c>
      <c r="G113" s="7">
        <f t="shared" si="4"/>
        <v>109</v>
      </c>
      <c r="H113" s="1">
        <v>6</v>
      </c>
      <c r="I113" s="4" t="s">
        <v>200</v>
      </c>
      <c r="J113" s="3"/>
      <c r="K113" s="3"/>
      <c r="L113" s="1"/>
      <c r="M113" s="4"/>
    </row>
    <row r="114" spans="1:13">
      <c r="A114" s="125"/>
      <c r="B114" s="123"/>
      <c r="C114" s="121"/>
      <c r="D114" s="10">
        <v>0</v>
      </c>
      <c r="E114" s="14">
        <v>4</v>
      </c>
      <c r="F114" s="8" t="s">
        <v>201</v>
      </c>
      <c r="G114" s="7">
        <f t="shared" si="4"/>
        <v>110</v>
      </c>
      <c r="H114" s="1">
        <v>5</v>
      </c>
      <c r="I114" s="4" t="s">
        <v>202</v>
      </c>
      <c r="J114" s="3"/>
      <c r="K114" s="3"/>
      <c r="L114" s="1"/>
      <c r="M114" s="4"/>
    </row>
    <row r="115" spans="1:13" ht="30">
      <c r="A115" s="125"/>
      <c r="B115" s="123"/>
      <c r="C115" s="121"/>
      <c r="D115" s="10">
        <v>0</v>
      </c>
      <c r="E115" s="14">
        <v>2</v>
      </c>
      <c r="F115" s="8" t="s">
        <v>203</v>
      </c>
      <c r="G115" s="7">
        <f t="shared" si="4"/>
        <v>111</v>
      </c>
      <c r="H115" s="1">
        <v>3</v>
      </c>
      <c r="I115" s="4" t="s">
        <v>204</v>
      </c>
      <c r="J115" s="3"/>
      <c r="K115" s="3"/>
      <c r="L115" s="1"/>
      <c r="M115" s="4"/>
    </row>
    <row r="116" spans="1:13">
      <c r="A116" s="125"/>
      <c r="B116" s="123"/>
      <c r="C116" s="121"/>
      <c r="D116" s="10">
        <v>0</v>
      </c>
      <c r="E116" s="13">
        <v>1</v>
      </c>
      <c r="F116" s="8">
        <v>70</v>
      </c>
      <c r="G116" s="7">
        <f t="shared" si="4"/>
        <v>112</v>
      </c>
      <c r="H116" s="1">
        <v>9</v>
      </c>
      <c r="I116" s="4" t="s">
        <v>205</v>
      </c>
      <c r="J116" s="3"/>
      <c r="K116" s="3"/>
      <c r="L116" s="1"/>
      <c r="M116" s="4"/>
    </row>
    <row r="117" spans="1:13" ht="30">
      <c r="A117" s="125" t="s">
        <v>246</v>
      </c>
      <c r="B117" s="123" t="str">
        <f>DEC2HEX(C117)</f>
        <v>0</v>
      </c>
      <c r="C117" s="121">
        <f>SUMIF(D117:D124,1,E117:E124)</f>
        <v>0</v>
      </c>
      <c r="D117" s="10">
        <v>0</v>
      </c>
      <c r="E117" s="13">
        <v>128</v>
      </c>
      <c r="F117" s="8">
        <v>71</v>
      </c>
      <c r="G117" s="7">
        <f t="shared" si="4"/>
        <v>113</v>
      </c>
      <c r="H117" s="1">
        <v>5</v>
      </c>
      <c r="I117" s="4" t="s">
        <v>206</v>
      </c>
      <c r="J117" s="3"/>
      <c r="K117" s="3"/>
      <c r="L117" s="1"/>
      <c r="M117" s="4"/>
    </row>
    <row r="118" spans="1:13">
      <c r="A118" s="125"/>
      <c r="B118" s="123"/>
      <c r="C118" s="121"/>
      <c r="D118" s="10">
        <v>0</v>
      </c>
      <c r="E118" s="13">
        <v>64</v>
      </c>
      <c r="F118" s="8">
        <v>72</v>
      </c>
      <c r="G118" s="7">
        <f t="shared" si="4"/>
        <v>114</v>
      </c>
      <c r="H118" s="1">
        <v>5</v>
      </c>
      <c r="I118" s="4" t="s">
        <v>207</v>
      </c>
      <c r="J118" s="3"/>
      <c r="K118" s="3"/>
      <c r="L118" s="1"/>
      <c r="M118" s="4"/>
    </row>
    <row r="119" spans="1:13">
      <c r="A119" s="125"/>
      <c r="B119" s="123"/>
      <c r="C119" s="121"/>
      <c r="D119" s="10">
        <v>0</v>
      </c>
      <c r="E119" s="13">
        <v>32</v>
      </c>
      <c r="F119" s="8">
        <v>73</v>
      </c>
      <c r="G119" s="7">
        <f t="shared" si="4"/>
        <v>115</v>
      </c>
      <c r="H119" s="1">
        <v>5</v>
      </c>
      <c r="I119" s="4" t="s">
        <v>208</v>
      </c>
      <c r="J119" s="3"/>
      <c r="K119" s="3"/>
      <c r="L119" s="1"/>
      <c r="M119" s="4"/>
    </row>
    <row r="120" spans="1:13">
      <c r="A120" s="125"/>
      <c r="B120" s="123"/>
      <c r="C120" s="121"/>
      <c r="D120" s="10">
        <v>0</v>
      </c>
      <c r="E120" s="13">
        <v>16</v>
      </c>
      <c r="F120" s="8">
        <v>74</v>
      </c>
      <c r="G120" s="7">
        <f t="shared" si="4"/>
        <v>116</v>
      </c>
      <c r="H120" s="1">
        <v>5</v>
      </c>
      <c r="I120" s="4" t="s">
        <v>209</v>
      </c>
      <c r="J120" s="3"/>
      <c r="K120" s="3"/>
      <c r="L120" s="1"/>
      <c r="M120" s="4"/>
    </row>
    <row r="121" spans="1:13">
      <c r="A121" s="125"/>
      <c r="B121" s="123"/>
      <c r="C121" s="121"/>
      <c r="D121" s="10">
        <v>0</v>
      </c>
      <c r="E121" s="13">
        <v>8</v>
      </c>
      <c r="F121" s="8">
        <v>75</v>
      </c>
      <c r="G121" s="7">
        <f t="shared" si="4"/>
        <v>117</v>
      </c>
      <c r="H121" s="1">
        <v>7</v>
      </c>
      <c r="I121" s="4" t="s">
        <v>210</v>
      </c>
      <c r="J121" s="3"/>
      <c r="K121" s="3"/>
      <c r="L121" s="1"/>
      <c r="M121" s="4"/>
    </row>
    <row r="122" spans="1:13">
      <c r="A122" s="125"/>
      <c r="B122" s="123"/>
      <c r="C122" s="121"/>
      <c r="D122" s="10">
        <v>0</v>
      </c>
      <c r="E122" s="14">
        <v>4</v>
      </c>
      <c r="F122" s="8">
        <v>76</v>
      </c>
      <c r="G122" s="7">
        <f t="shared" si="4"/>
        <v>118</v>
      </c>
      <c r="H122" s="1">
        <v>7</v>
      </c>
      <c r="I122" s="4" t="s">
        <v>210</v>
      </c>
      <c r="J122" s="3"/>
      <c r="K122" s="3"/>
      <c r="L122" s="1"/>
      <c r="M122" s="4"/>
    </row>
    <row r="123" spans="1:13" ht="30">
      <c r="A123" s="125"/>
      <c r="B123" s="123"/>
      <c r="C123" s="121"/>
      <c r="D123" s="10">
        <v>0</v>
      </c>
      <c r="E123" s="14">
        <v>2</v>
      </c>
      <c r="F123" s="8">
        <v>77</v>
      </c>
      <c r="G123" s="7">
        <f t="shared" si="4"/>
        <v>119</v>
      </c>
      <c r="H123" s="1">
        <v>5</v>
      </c>
      <c r="I123" s="4" t="s">
        <v>211</v>
      </c>
      <c r="J123" s="3"/>
      <c r="K123" s="3"/>
      <c r="L123" s="1"/>
      <c r="M123" s="4"/>
    </row>
    <row r="124" spans="1:13" ht="30">
      <c r="A124" s="125"/>
      <c r="B124" s="123"/>
      <c r="C124" s="121"/>
      <c r="D124" s="10">
        <v>0</v>
      </c>
      <c r="E124" s="13">
        <v>1</v>
      </c>
      <c r="F124" s="8">
        <v>78</v>
      </c>
      <c r="G124" s="7">
        <f t="shared" si="4"/>
        <v>120</v>
      </c>
      <c r="H124" s="1">
        <v>9</v>
      </c>
      <c r="I124" s="4" t="s">
        <v>212</v>
      </c>
      <c r="J124" s="3"/>
      <c r="K124" s="3"/>
      <c r="L124" s="1"/>
      <c r="M124" s="5" t="s">
        <v>213</v>
      </c>
    </row>
    <row r="125" spans="1:13" ht="30">
      <c r="A125" s="125" t="s">
        <v>247</v>
      </c>
      <c r="B125" s="123" t="str">
        <f>DEC2HEX(C125)</f>
        <v>1</v>
      </c>
      <c r="C125" s="121">
        <f>SUMIF(D125:D132,1,E125:E132)</f>
        <v>1</v>
      </c>
      <c r="D125" s="10">
        <v>0</v>
      </c>
      <c r="E125" s="13">
        <v>128</v>
      </c>
      <c r="F125" s="8">
        <v>79</v>
      </c>
      <c r="G125" s="7">
        <f t="shared" si="4"/>
        <v>121</v>
      </c>
      <c r="H125" s="1">
        <v>9</v>
      </c>
      <c r="I125" s="4" t="s">
        <v>214</v>
      </c>
      <c r="J125" s="3"/>
      <c r="K125" s="3"/>
      <c r="L125" s="1"/>
      <c r="M125" s="5" t="s">
        <v>213</v>
      </c>
    </row>
    <row r="126" spans="1:13">
      <c r="A126" s="125"/>
      <c r="B126" s="123"/>
      <c r="C126" s="121"/>
      <c r="D126" s="10">
        <v>0</v>
      </c>
      <c r="E126" s="13">
        <v>64</v>
      </c>
      <c r="F126" s="8" t="s">
        <v>215</v>
      </c>
      <c r="G126" s="7">
        <f t="shared" si="4"/>
        <v>122</v>
      </c>
      <c r="H126" s="1">
        <v>7</v>
      </c>
      <c r="I126" s="4" t="s">
        <v>216</v>
      </c>
      <c r="J126" s="3"/>
      <c r="K126" s="3"/>
      <c r="L126" s="1"/>
      <c r="M126" s="4"/>
    </row>
    <row r="127" spans="1:13">
      <c r="A127" s="125"/>
      <c r="B127" s="123"/>
      <c r="C127" s="121"/>
      <c r="D127" s="10">
        <v>0</v>
      </c>
      <c r="E127" s="13">
        <v>32</v>
      </c>
      <c r="F127" s="8" t="s">
        <v>217</v>
      </c>
      <c r="G127" s="7">
        <f t="shared" si="4"/>
        <v>123</v>
      </c>
      <c r="H127" s="1">
        <v>7</v>
      </c>
      <c r="I127" s="4" t="s">
        <v>216</v>
      </c>
      <c r="J127" s="3"/>
      <c r="K127" s="3"/>
      <c r="L127" s="1"/>
      <c r="M127" s="4"/>
    </row>
    <row r="128" spans="1:13" ht="30">
      <c r="A128" s="125"/>
      <c r="B128" s="123"/>
      <c r="C128" s="121"/>
      <c r="D128" s="10">
        <v>0</v>
      </c>
      <c r="E128" s="13">
        <v>16</v>
      </c>
      <c r="F128" s="8" t="s">
        <v>218</v>
      </c>
      <c r="G128" s="7">
        <f t="shared" si="4"/>
        <v>124</v>
      </c>
      <c r="H128" s="1">
        <v>9</v>
      </c>
      <c r="I128" s="4" t="s">
        <v>219</v>
      </c>
      <c r="J128" s="3"/>
      <c r="K128" s="3"/>
      <c r="L128" s="1"/>
      <c r="M128" s="4"/>
    </row>
    <row r="129" spans="1:13">
      <c r="A129" s="125"/>
      <c r="B129" s="123"/>
      <c r="C129" s="121"/>
      <c r="D129" s="10">
        <v>0</v>
      </c>
      <c r="E129" s="13">
        <v>8</v>
      </c>
      <c r="F129" s="8" t="s">
        <v>220</v>
      </c>
      <c r="G129" s="7">
        <f t="shared" si="4"/>
        <v>125</v>
      </c>
      <c r="H129" s="1">
        <v>1</v>
      </c>
      <c r="I129" s="4" t="s">
        <v>221</v>
      </c>
      <c r="J129" s="3"/>
      <c r="K129" s="3"/>
      <c r="L129" s="1"/>
      <c r="M129" s="4"/>
    </row>
    <row r="130" spans="1:13">
      <c r="A130" s="125"/>
      <c r="B130" s="123"/>
      <c r="C130" s="121"/>
      <c r="D130" s="10">
        <v>0</v>
      </c>
      <c r="E130" s="14">
        <v>4</v>
      </c>
      <c r="F130" s="8" t="s">
        <v>222</v>
      </c>
      <c r="G130" s="7">
        <f t="shared" si="4"/>
        <v>126</v>
      </c>
      <c r="H130" s="1">
        <v>1</v>
      </c>
      <c r="I130" s="4" t="s">
        <v>223</v>
      </c>
      <c r="J130" s="3"/>
      <c r="K130" s="3"/>
      <c r="L130" s="1"/>
      <c r="M130" s="4"/>
    </row>
    <row r="131" spans="1:13">
      <c r="A131" s="125"/>
      <c r="B131" s="123"/>
      <c r="C131" s="121"/>
      <c r="D131" s="10">
        <v>0</v>
      </c>
      <c r="E131" s="14">
        <v>2</v>
      </c>
      <c r="F131" s="8" t="s">
        <v>224</v>
      </c>
      <c r="G131" s="7">
        <f t="shared" si="4"/>
        <v>127</v>
      </c>
      <c r="H131" s="1">
        <v>13</v>
      </c>
      <c r="I131" s="4" t="s">
        <v>225</v>
      </c>
      <c r="J131" s="3"/>
      <c r="K131" s="3"/>
      <c r="L131" s="1"/>
      <c r="M131" s="4"/>
    </row>
    <row r="132" spans="1:13" s="15" customFormat="1" ht="16" thickBot="1">
      <c r="A132" s="126"/>
      <c r="B132" s="124"/>
      <c r="C132" s="122"/>
      <c r="D132" s="16">
        <v>1</v>
      </c>
      <c r="E132" s="32">
        <v>1</v>
      </c>
      <c r="F132" s="22">
        <v>80</v>
      </c>
      <c r="G132" s="17">
        <f t="shared" si="4"/>
        <v>128</v>
      </c>
      <c r="H132" s="18">
        <v>4</v>
      </c>
      <c r="I132" s="19" t="s">
        <v>226</v>
      </c>
      <c r="J132" s="20"/>
      <c r="K132" s="20"/>
      <c r="L132" s="18"/>
      <c r="M132" s="21" t="s">
        <v>227</v>
      </c>
    </row>
    <row r="133" spans="1:13" ht="30">
      <c r="A133" s="132" t="s">
        <v>244</v>
      </c>
      <c r="B133" s="128" t="str">
        <f>DEC2HEX(C133)</f>
        <v>0</v>
      </c>
      <c r="C133" s="127">
        <f>SUMIF(D133:D140,1,E133:E140)</f>
        <v>0</v>
      </c>
      <c r="D133" s="10">
        <v>0</v>
      </c>
      <c r="E133" s="13">
        <v>128</v>
      </c>
      <c r="F133" s="8">
        <v>81</v>
      </c>
      <c r="G133" s="7">
        <f t="shared" si="4"/>
        <v>129</v>
      </c>
      <c r="H133" s="1">
        <v>21</v>
      </c>
      <c r="I133" s="4" t="s">
        <v>228</v>
      </c>
      <c r="J133" s="3"/>
      <c r="K133" s="3"/>
      <c r="L133" s="1"/>
      <c r="M133" s="4"/>
    </row>
    <row r="134" spans="1:13" ht="30">
      <c r="A134" s="125"/>
      <c r="B134" s="123"/>
      <c r="C134" s="121"/>
      <c r="D134" s="10">
        <v>0</v>
      </c>
      <c r="E134" s="13">
        <v>64</v>
      </c>
      <c r="F134" s="8">
        <v>82</v>
      </c>
      <c r="G134" s="7">
        <f t="shared" si="4"/>
        <v>130</v>
      </c>
      <c r="H134" s="1">
        <v>21</v>
      </c>
      <c r="I134" s="4" t="s">
        <v>228</v>
      </c>
      <c r="J134" s="3"/>
      <c r="K134" s="3"/>
      <c r="L134" s="1"/>
      <c r="M134" s="4"/>
    </row>
    <row r="135" spans="1:13">
      <c r="A135" s="125"/>
      <c r="B135" s="123"/>
      <c r="C135" s="121"/>
      <c r="D135" s="10">
        <v>0</v>
      </c>
      <c r="E135" s="13">
        <v>32</v>
      </c>
      <c r="F135" s="8">
        <v>83</v>
      </c>
      <c r="G135" s="7">
        <f t="shared" si="4"/>
        <v>131</v>
      </c>
      <c r="H135" s="1">
        <v>5</v>
      </c>
      <c r="I135" s="4" t="s">
        <v>229</v>
      </c>
      <c r="J135" s="3"/>
      <c r="K135" s="3"/>
      <c r="L135" s="1"/>
      <c r="M135" s="4"/>
    </row>
    <row r="136" spans="1:13">
      <c r="A136" s="125"/>
      <c r="B136" s="123"/>
      <c r="C136" s="121"/>
      <c r="D136" s="10">
        <v>0</v>
      </c>
      <c r="E136" s="13">
        <v>16</v>
      </c>
      <c r="F136" s="8">
        <v>84</v>
      </c>
      <c r="G136" s="7">
        <f t="shared" si="4"/>
        <v>132</v>
      </c>
      <c r="H136" s="1"/>
      <c r="I136" s="4" t="s">
        <v>230</v>
      </c>
      <c r="J136" s="3"/>
      <c r="K136" s="3"/>
      <c r="L136" s="1"/>
      <c r="M136" s="4"/>
    </row>
    <row r="137" spans="1:13">
      <c r="A137" s="125"/>
      <c r="B137" s="123"/>
      <c r="C137" s="121"/>
      <c r="D137" s="10">
        <v>0</v>
      </c>
      <c r="E137" s="13">
        <v>8</v>
      </c>
      <c r="F137" s="8">
        <v>85</v>
      </c>
      <c r="G137" s="7">
        <f t="shared" si="4"/>
        <v>133</v>
      </c>
      <c r="H137" s="1"/>
      <c r="I137" s="4" t="s">
        <v>231</v>
      </c>
      <c r="J137" s="3"/>
      <c r="K137" s="3"/>
      <c r="L137" s="1"/>
      <c r="M137" s="4"/>
    </row>
    <row r="138" spans="1:13">
      <c r="A138" s="125"/>
      <c r="B138" s="123"/>
      <c r="C138" s="121"/>
      <c r="D138" s="10">
        <v>0</v>
      </c>
      <c r="E138" s="14">
        <v>4</v>
      </c>
      <c r="F138" s="8">
        <v>86</v>
      </c>
      <c r="G138" s="7">
        <f t="shared" si="4"/>
        <v>134</v>
      </c>
      <c r="H138" s="1"/>
      <c r="I138" s="4" t="s">
        <v>232</v>
      </c>
      <c r="J138" s="3"/>
      <c r="K138" s="3"/>
      <c r="L138" s="1"/>
      <c r="M138" s="4"/>
    </row>
    <row r="139" spans="1:13">
      <c r="A139" s="125"/>
      <c r="B139" s="123"/>
      <c r="C139" s="121"/>
      <c r="D139" s="10">
        <v>0</v>
      </c>
      <c r="E139" s="14">
        <v>2</v>
      </c>
      <c r="F139" s="8">
        <v>87</v>
      </c>
      <c r="G139" s="7">
        <f t="shared" si="4"/>
        <v>135</v>
      </c>
      <c r="H139" s="1"/>
      <c r="I139" s="4" t="s">
        <v>34</v>
      </c>
      <c r="J139" s="3"/>
      <c r="K139" s="3"/>
      <c r="L139" s="1"/>
      <c r="M139" s="4"/>
    </row>
    <row r="140" spans="1:13">
      <c r="A140" s="125"/>
      <c r="B140" s="123"/>
      <c r="C140" s="121"/>
      <c r="D140" s="10">
        <v>0</v>
      </c>
      <c r="E140" s="14">
        <v>1</v>
      </c>
      <c r="F140" s="8">
        <v>88</v>
      </c>
      <c r="G140" s="7">
        <f t="shared" si="4"/>
        <v>136</v>
      </c>
      <c r="H140" s="1"/>
      <c r="I140" s="4"/>
      <c r="J140" s="3"/>
      <c r="K140" s="3"/>
      <c r="L140" s="1"/>
      <c r="M140" s="4"/>
    </row>
    <row r="141" spans="1:13">
      <c r="A141" s="125" t="s">
        <v>245</v>
      </c>
      <c r="B141" s="123" t="str">
        <f>DEC2HEX(C141)</f>
        <v>0</v>
      </c>
      <c r="C141" s="121">
        <f>SUMIF(D141:D148,1,E141:E148)</f>
        <v>0</v>
      </c>
      <c r="D141" s="10">
        <v>0</v>
      </c>
      <c r="E141" s="13">
        <v>128</v>
      </c>
      <c r="F141" s="8">
        <v>89</v>
      </c>
      <c r="G141" s="7">
        <f t="shared" si="4"/>
        <v>137</v>
      </c>
      <c r="H141" s="1"/>
      <c r="I141" s="4"/>
      <c r="J141" s="3"/>
      <c r="K141" s="3"/>
      <c r="L141" s="1"/>
      <c r="M141" s="4"/>
    </row>
    <row r="142" spans="1:13">
      <c r="A142" s="125"/>
      <c r="B142" s="123"/>
      <c r="C142" s="121"/>
      <c r="D142" s="10">
        <v>0</v>
      </c>
      <c r="E142" s="13">
        <v>64</v>
      </c>
      <c r="F142" s="8" t="s">
        <v>294</v>
      </c>
      <c r="G142" s="7">
        <f t="shared" si="4"/>
        <v>138</v>
      </c>
      <c r="H142" s="1"/>
      <c r="I142" s="4"/>
      <c r="J142" s="3"/>
      <c r="K142" s="3"/>
      <c r="L142" s="1"/>
      <c r="M142" s="4"/>
    </row>
    <row r="143" spans="1:13">
      <c r="A143" s="125"/>
      <c r="B143" s="123"/>
      <c r="C143" s="121"/>
      <c r="D143" s="10">
        <v>0</v>
      </c>
      <c r="E143" s="13">
        <v>32</v>
      </c>
      <c r="F143" s="8" t="s">
        <v>295</v>
      </c>
      <c r="G143" s="7">
        <f t="shared" si="4"/>
        <v>139</v>
      </c>
      <c r="H143" s="1"/>
      <c r="I143" s="4"/>
      <c r="J143" s="3"/>
      <c r="K143" s="3"/>
      <c r="L143" s="1"/>
      <c r="M143" s="4"/>
    </row>
    <row r="144" spans="1:13">
      <c r="A144" s="125"/>
      <c r="B144" s="123"/>
      <c r="C144" s="121"/>
      <c r="D144" s="10">
        <v>0</v>
      </c>
      <c r="E144" s="13">
        <v>16</v>
      </c>
      <c r="F144" s="8" t="s">
        <v>296</v>
      </c>
      <c r="G144" s="7">
        <f t="shared" si="4"/>
        <v>140</v>
      </c>
      <c r="H144" s="1"/>
      <c r="I144" s="4"/>
      <c r="J144" s="3"/>
      <c r="K144" s="3"/>
      <c r="L144" s="1"/>
      <c r="M144" s="4"/>
    </row>
    <row r="145" spans="1:13">
      <c r="A145" s="125"/>
      <c r="B145" s="123"/>
      <c r="C145" s="121"/>
      <c r="D145" s="10">
        <v>0</v>
      </c>
      <c r="E145" s="13">
        <v>8</v>
      </c>
      <c r="F145" s="8" t="s">
        <v>297</v>
      </c>
      <c r="G145" s="7">
        <f t="shared" si="4"/>
        <v>141</v>
      </c>
      <c r="H145" s="1"/>
      <c r="I145" s="4"/>
      <c r="J145" s="3"/>
      <c r="K145" s="3"/>
      <c r="L145" s="1"/>
      <c r="M145" s="4"/>
    </row>
    <row r="146" spans="1:13">
      <c r="A146" s="125"/>
      <c r="B146" s="123"/>
      <c r="C146" s="121"/>
      <c r="D146" s="10">
        <v>0</v>
      </c>
      <c r="E146" s="14">
        <v>4</v>
      </c>
      <c r="F146" s="8" t="s">
        <v>298</v>
      </c>
      <c r="G146" s="7">
        <f t="shared" si="4"/>
        <v>142</v>
      </c>
      <c r="H146" s="1"/>
      <c r="I146" s="4"/>
      <c r="J146" s="3"/>
      <c r="K146" s="3"/>
      <c r="L146" s="1"/>
      <c r="M146" s="4"/>
    </row>
    <row r="147" spans="1:13">
      <c r="A147" s="125"/>
      <c r="B147" s="123"/>
      <c r="C147" s="121"/>
      <c r="D147" s="10">
        <v>0</v>
      </c>
      <c r="E147" s="14">
        <v>2</v>
      </c>
      <c r="F147" s="8" t="s">
        <v>299</v>
      </c>
      <c r="G147" s="7">
        <f t="shared" si="4"/>
        <v>143</v>
      </c>
      <c r="H147" s="1"/>
      <c r="I147" s="4"/>
      <c r="J147" s="3"/>
      <c r="K147" s="3"/>
      <c r="L147" s="1"/>
      <c r="M147" s="4"/>
    </row>
    <row r="148" spans="1:13">
      <c r="A148" s="125"/>
      <c r="B148" s="123"/>
      <c r="C148" s="121"/>
      <c r="D148" s="10">
        <v>0</v>
      </c>
      <c r="E148" s="14">
        <v>1</v>
      </c>
      <c r="F148" s="8">
        <v>90</v>
      </c>
      <c r="G148" s="7">
        <f t="shared" si="4"/>
        <v>144</v>
      </c>
      <c r="H148" s="1"/>
      <c r="I148" s="4"/>
      <c r="J148" s="3"/>
      <c r="K148" s="3"/>
      <c r="L148" s="1"/>
      <c r="M148" s="4"/>
    </row>
    <row r="149" spans="1:13">
      <c r="A149" s="125" t="s">
        <v>246</v>
      </c>
      <c r="B149" s="123" t="str">
        <f>DEC2HEX(C149)</f>
        <v>0</v>
      </c>
      <c r="C149" s="121">
        <f>SUMIF(D149:D156,1,E149:E156)</f>
        <v>0</v>
      </c>
      <c r="D149" s="10">
        <v>0</v>
      </c>
      <c r="E149" s="13">
        <v>128</v>
      </c>
      <c r="F149" s="8">
        <v>91</v>
      </c>
      <c r="G149" s="7">
        <f t="shared" si="4"/>
        <v>145</v>
      </c>
      <c r="H149" s="1"/>
      <c r="I149" s="4"/>
      <c r="J149" s="3"/>
      <c r="K149" s="3"/>
      <c r="L149" s="1"/>
      <c r="M149" s="4"/>
    </row>
    <row r="150" spans="1:13">
      <c r="A150" s="125"/>
      <c r="B150" s="123"/>
      <c r="C150" s="121"/>
      <c r="D150" s="10">
        <v>0</v>
      </c>
      <c r="E150" s="13">
        <v>64</v>
      </c>
      <c r="F150" s="8">
        <v>92</v>
      </c>
      <c r="G150" s="7">
        <f t="shared" si="4"/>
        <v>146</v>
      </c>
      <c r="H150" s="1"/>
      <c r="I150" s="4"/>
      <c r="J150" s="3"/>
      <c r="K150" s="3"/>
      <c r="L150" s="1"/>
      <c r="M150" s="4"/>
    </row>
    <row r="151" spans="1:13">
      <c r="A151" s="125"/>
      <c r="B151" s="123"/>
      <c r="C151" s="121"/>
      <c r="D151" s="10">
        <v>0</v>
      </c>
      <c r="E151" s="13">
        <v>32</v>
      </c>
      <c r="F151" s="8">
        <v>93</v>
      </c>
      <c r="G151" s="7">
        <f t="shared" si="4"/>
        <v>147</v>
      </c>
      <c r="H151" s="1"/>
      <c r="I151" s="4"/>
      <c r="J151" s="3"/>
      <c r="K151" s="3"/>
      <c r="L151" s="1"/>
      <c r="M151" s="4"/>
    </row>
    <row r="152" spans="1:13">
      <c r="A152" s="125"/>
      <c r="B152" s="123"/>
      <c r="C152" s="121"/>
      <c r="D152" s="10">
        <v>0</v>
      </c>
      <c r="E152" s="13">
        <v>16</v>
      </c>
      <c r="F152" s="8">
        <v>94</v>
      </c>
      <c r="G152" s="7">
        <f t="shared" si="4"/>
        <v>148</v>
      </c>
      <c r="H152" s="1"/>
      <c r="I152" s="4"/>
      <c r="J152" s="3"/>
      <c r="K152" s="3"/>
      <c r="L152" s="1"/>
      <c r="M152" s="4"/>
    </row>
    <row r="153" spans="1:13">
      <c r="A153" s="125"/>
      <c r="B153" s="123"/>
      <c r="C153" s="121"/>
      <c r="D153" s="10">
        <v>0</v>
      </c>
      <c r="E153" s="13">
        <v>8</v>
      </c>
      <c r="F153" s="8">
        <v>95</v>
      </c>
      <c r="G153" s="7">
        <f t="shared" si="4"/>
        <v>149</v>
      </c>
      <c r="H153" s="1"/>
      <c r="I153" s="4"/>
      <c r="J153" s="3"/>
      <c r="K153" s="3"/>
      <c r="L153" s="1"/>
      <c r="M153" s="4"/>
    </row>
    <row r="154" spans="1:13">
      <c r="A154" s="125"/>
      <c r="B154" s="123"/>
      <c r="C154" s="121"/>
      <c r="D154" s="10">
        <v>0</v>
      </c>
      <c r="E154" s="14">
        <v>4</v>
      </c>
      <c r="F154" s="8">
        <v>96</v>
      </c>
      <c r="G154" s="7">
        <f t="shared" si="4"/>
        <v>150</v>
      </c>
      <c r="H154" s="1"/>
      <c r="I154" s="4"/>
      <c r="J154" s="3"/>
      <c r="K154" s="3"/>
      <c r="L154" s="1"/>
      <c r="M154" s="4"/>
    </row>
    <row r="155" spans="1:13">
      <c r="A155" s="125"/>
      <c r="B155" s="123"/>
      <c r="C155" s="121"/>
      <c r="D155" s="10">
        <v>0</v>
      </c>
      <c r="E155" s="14">
        <v>2</v>
      </c>
      <c r="F155" s="8">
        <v>97</v>
      </c>
      <c r="G155" s="7">
        <f t="shared" si="4"/>
        <v>151</v>
      </c>
      <c r="H155" s="1"/>
      <c r="I155" s="4"/>
      <c r="J155" s="3"/>
      <c r="K155" s="3"/>
      <c r="L155" s="1"/>
      <c r="M155" s="4"/>
    </row>
    <row r="156" spans="1:13">
      <c r="A156" s="125"/>
      <c r="B156" s="123"/>
      <c r="C156" s="121"/>
      <c r="D156" s="10">
        <v>0</v>
      </c>
      <c r="E156" s="14">
        <v>1</v>
      </c>
      <c r="F156" s="8">
        <v>98</v>
      </c>
      <c r="G156" s="7">
        <f t="shared" si="4"/>
        <v>152</v>
      </c>
      <c r="H156" s="1"/>
      <c r="I156" s="4"/>
      <c r="J156" s="3"/>
      <c r="K156" s="3"/>
      <c r="L156" s="1"/>
      <c r="M156" s="4"/>
    </row>
    <row r="157" spans="1:13">
      <c r="A157" s="125" t="s">
        <v>247</v>
      </c>
      <c r="B157" s="123" t="str">
        <f>DEC2HEX(C157)</f>
        <v>1</v>
      </c>
      <c r="C157" s="121">
        <f>SUMIF(D157:D164,1,E157:E164)</f>
        <v>1</v>
      </c>
      <c r="D157" s="10">
        <v>0</v>
      </c>
      <c r="E157" s="13">
        <v>128</v>
      </c>
      <c r="F157" s="8">
        <v>99</v>
      </c>
      <c r="G157" s="7">
        <f t="shared" si="4"/>
        <v>153</v>
      </c>
      <c r="H157" s="1"/>
      <c r="I157" s="4"/>
      <c r="J157" s="3"/>
      <c r="K157" s="3"/>
      <c r="L157" s="1"/>
      <c r="M157" s="4"/>
    </row>
    <row r="158" spans="1:13">
      <c r="A158" s="125"/>
      <c r="B158" s="123"/>
      <c r="C158" s="121"/>
      <c r="D158" s="10">
        <v>0</v>
      </c>
      <c r="E158" s="13">
        <v>64</v>
      </c>
      <c r="F158" s="8" t="s">
        <v>300</v>
      </c>
      <c r="G158" s="7">
        <f t="shared" si="4"/>
        <v>154</v>
      </c>
      <c r="H158" s="1"/>
      <c r="I158" s="4"/>
      <c r="J158" s="3"/>
      <c r="K158" s="3"/>
      <c r="L158" s="1"/>
      <c r="M158" s="4"/>
    </row>
    <row r="159" spans="1:13">
      <c r="A159" s="125"/>
      <c r="B159" s="123"/>
      <c r="C159" s="121"/>
      <c r="D159" s="10">
        <v>0</v>
      </c>
      <c r="E159" s="13">
        <v>32</v>
      </c>
      <c r="F159" s="8" t="s">
        <v>301</v>
      </c>
      <c r="G159" s="7">
        <f t="shared" si="4"/>
        <v>155</v>
      </c>
      <c r="H159" s="1"/>
      <c r="I159" s="4"/>
      <c r="J159" s="3"/>
      <c r="K159" s="3"/>
      <c r="L159" s="1"/>
      <c r="M159" s="4"/>
    </row>
    <row r="160" spans="1:13">
      <c r="A160" s="125"/>
      <c r="B160" s="123"/>
      <c r="C160" s="121"/>
      <c r="D160" s="10">
        <v>0</v>
      </c>
      <c r="E160" s="13">
        <v>16</v>
      </c>
      <c r="F160" s="8" t="s">
        <v>302</v>
      </c>
      <c r="G160" s="7">
        <f t="shared" si="4"/>
        <v>156</v>
      </c>
      <c r="H160" s="1"/>
      <c r="I160" s="4"/>
      <c r="J160" s="3"/>
      <c r="K160" s="3"/>
      <c r="L160" s="1"/>
      <c r="M160" s="4"/>
    </row>
    <row r="161" spans="1:13">
      <c r="A161" s="125"/>
      <c r="B161" s="123"/>
      <c r="C161" s="121"/>
      <c r="D161" s="10">
        <v>0</v>
      </c>
      <c r="E161" s="13">
        <v>8</v>
      </c>
      <c r="F161" s="8" t="s">
        <v>303</v>
      </c>
      <c r="G161" s="7">
        <f t="shared" si="4"/>
        <v>157</v>
      </c>
      <c r="H161" s="1"/>
      <c r="I161" s="4"/>
      <c r="J161" s="3"/>
      <c r="K161" s="3"/>
      <c r="L161" s="1"/>
      <c r="M161" s="4"/>
    </row>
    <row r="162" spans="1:13">
      <c r="A162" s="125"/>
      <c r="B162" s="123"/>
      <c r="C162" s="121"/>
      <c r="D162" s="10">
        <v>0</v>
      </c>
      <c r="E162" s="14">
        <v>4</v>
      </c>
      <c r="F162" s="8" t="s">
        <v>304</v>
      </c>
      <c r="G162" s="7">
        <f t="shared" si="4"/>
        <v>158</v>
      </c>
      <c r="H162" s="1"/>
      <c r="I162" s="4"/>
      <c r="J162" s="3"/>
      <c r="K162" s="3"/>
      <c r="L162" s="1"/>
      <c r="M162" s="4"/>
    </row>
    <row r="163" spans="1:13">
      <c r="A163" s="125"/>
      <c r="B163" s="123"/>
      <c r="C163" s="121"/>
      <c r="D163" s="10">
        <v>0</v>
      </c>
      <c r="E163" s="14">
        <v>2</v>
      </c>
      <c r="F163" s="8" t="s">
        <v>305</v>
      </c>
      <c r="G163" s="7">
        <f t="shared" si="4"/>
        <v>159</v>
      </c>
      <c r="H163" s="1"/>
      <c r="I163" s="4"/>
      <c r="J163" s="3"/>
      <c r="K163" s="3"/>
      <c r="L163" s="1"/>
      <c r="M163" s="4"/>
    </row>
    <row r="164" spans="1:13" s="15" customFormat="1" ht="16" thickBot="1">
      <c r="A164" s="126"/>
      <c r="B164" s="124"/>
      <c r="C164" s="122"/>
      <c r="D164" s="16">
        <v>1</v>
      </c>
      <c r="E164" s="33">
        <v>1</v>
      </c>
      <c r="F164" s="22" t="s">
        <v>233</v>
      </c>
      <c r="G164" s="17">
        <f t="shared" si="4"/>
        <v>160</v>
      </c>
      <c r="H164" s="18">
        <v>4</v>
      </c>
      <c r="I164" s="19" t="s">
        <v>234</v>
      </c>
      <c r="J164" s="20"/>
      <c r="K164" s="20"/>
      <c r="L164" s="18"/>
      <c r="M164" s="21" t="s">
        <v>235</v>
      </c>
    </row>
    <row r="165" spans="1:13">
      <c r="A165" s="132" t="s">
        <v>244</v>
      </c>
      <c r="B165" s="128" t="str">
        <f>DEC2HEX(C165)</f>
        <v>0</v>
      </c>
      <c r="C165" s="127">
        <f>SUMIF(D165:D172,1,E165:E172)</f>
        <v>0</v>
      </c>
      <c r="D165" s="10">
        <v>0</v>
      </c>
      <c r="E165" s="13">
        <v>128</v>
      </c>
      <c r="F165" s="8" t="s">
        <v>306</v>
      </c>
      <c r="G165" s="7">
        <f t="shared" si="4"/>
        <v>161</v>
      </c>
      <c r="H165" s="1"/>
      <c r="I165" s="4"/>
      <c r="J165" s="3"/>
      <c r="K165" s="3"/>
      <c r="L165" s="1"/>
      <c r="M165" s="4"/>
    </row>
    <row r="166" spans="1:13">
      <c r="A166" s="125"/>
      <c r="B166" s="123"/>
      <c r="C166" s="121"/>
      <c r="D166" s="10">
        <v>0</v>
      </c>
      <c r="E166" s="13">
        <v>64</v>
      </c>
      <c r="F166" s="8" t="s">
        <v>307</v>
      </c>
      <c r="G166" s="7">
        <f t="shared" si="4"/>
        <v>162</v>
      </c>
      <c r="H166" s="1"/>
      <c r="I166" s="4"/>
      <c r="J166" s="3"/>
      <c r="K166" s="3"/>
      <c r="L166" s="1"/>
      <c r="M166" s="4"/>
    </row>
    <row r="167" spans="1:13">
      <c r="A167" s="125"/>
      <c r="B167" s="123"/>
      <c r="C167" s="121"/>
      <c r="D167" s="10">
        <v>0</v>
      </c>
      <c r="E167" s="13">
        <v>32</v>
      </c>
      <c r="F167" s="8" t="s">
        <v>308</v>
      </c>
      <c r="G167" s="7">
        <f t="shared" si="4"/>
        <v>163</v>
      </c>
      <c r="H167" s="1"/>
      <c r="I167" s="4"/>
      <c r="J167" s="3"/>
      <c r="K167" s="3"/>
      <c r="L167" s="1"/>
      <c r="M167" s="4"/>
    </row>
    <row r="168" spans="1:13">
      <c r="A168" s="125"/>
      <c r="B168" s="123"/>
      <c r="C168" s="121"/>
      <c r="D168" s="10">
        <v>0</v>
      </c>
      <c r="E168" s="13">
        <v>16</v>
      </c>
      <c r="F168" s="8" t="s">
        <v>309</v>
      </c>
      <c r="G168" s="7">
        <f t="shared" si="4"/>
        <v>164</v>
      </c>
      <c r="H168" s="1"/>
      <c r="I168" s="4"/>
      <c r="J168" s="3"/>
      <c r="K168" s="3"/>
      <c r="L168" s="1"/>
      <c r="M168" s="4"/>
    </row>
    <row r="169" spans="1:13">
      <c r="A169" s="125"/>
      <c r="B169" s="123"/>
      <c r="C169" s="121"/>
      <c r="D169" s="10">
        <v>0</v>
      </c>
      <c r="E169" s="13">
        <v>8</v>
      </c>
      <c r="F169" s="8" t="s">
        <v>310</v>
      </c>
      <c r="G169" s="7">
        <f t="shared" si="4"/>
        <v>165</v>
      </c>
      <c r="H169" s="1"/>
      <c r="I169" s="4"/>
      <c r="J169" s="3"/>
      <c r="K169" s="3"/>
      <c r="L169" s="1"/>
      <c r="M169" s="4"/>
    </row>
    <row r="170" spans="1:13">
      <c r="A170" s="125"/>
      <c r="B170" s="123"/>
      <c r="C170" s="121"/>
      <c r="D170" s="10">
        <v>0</v>
      </c>
      <c r="E170" s="14">
        <v>4</v>
      </c>
      <c r="F170" s="8" t="s">
        <v>311</v>
      </c>
      <c r="G170" s="7">
        <f t="shared" si="4"/>
        <v>166</v>
      </c>
      <c r="H170" s="1"/>
      <c r="I170" s="4"/>
      <c r="J170" s="3"/>
      <c r="K170" s="3"/>
      <c r="L170" s="1"/>
      <c r="M170" s="4"/>
    </row>
    <row r="171" spans="1:13">
      <c r="A171" s="125"/>
      <c r="B171" s="123"/>
      <c r="C171" s="121"/>
      <c r="D171" s="10">
        <v>0</v>
      </c>
      <c r="E171" s="14">
        <v>2</v>
      </c>
      <c r="F171" s="8" t="s">
        <v>312</v>
      </c>
      <c r="G171" s="7">
        <f t="shared" si="4"/>
        <v>167</v>
      </c>
      <c r="H171" s="1"/>
      <c r="I171" s="4"/>
      <c r="J171" s="3"/>
      <c r="K171" s="3"/>
      <c r="L171" s="1"/>
      <c r="M171" s="4"/>
    </row>
    <row r="172" spans="1:13">
      <c r="A172" s="125"/>
      <c r="B172" s="123"/>
      <c r="C172" s="121"/>
      <c r="D172" s="10">
        <v>0</v>
      </c>
      <c r="E172" s="14">
        <v>1</v>
      </c>
      <c r="F172" s="8" t="s">
        <v>313</v>
      </c>
      <c r="G172" s="7">
        <f t="shared" si="4"/>
        <v>168</v>
      </c>
      <c r="H172" s="1"/>
      <c r="I172" s="4"/>
      <c r="J172" s="3"/>
      <c r="K172" s="3"/>
      <c r="L172" s="1"/>
      <c r="M172" s="5"/>
    </row>
    <row r="173" spans="1:13">
      <c r="A173" s="125" t="s">
        <v>245</v>
      </c>
      <c r="B173" s="123" t="str">
        <f>DEC2HEX(C173)</f>
        <v>0</v>
      </c>
      <c r="C173" s="121">
        <f>SUMIF(D173:D180,1,E173:E180)</f>
        <v>0</v>
      </c>
      <c r="D173" s="10">
        <v>0</v>
      </c>
      <c r="E173" s="14">
        <v>128</v>
      </c>
      <c r="F173" s="8" t="s">
        <v>314</v>
      </c>
      <c r="G173" s="7">
        <f t="shared" si="4"/>
        <v>169</v>
      </c>
      <c r="H173" s="1"/>
      <c r="I173" s="4"/>
      <c r="J173" s="3"/>
      <c r="K173" s="3"/>
      <c r="L173" s="1"/>
      <c r="M173" s="5"/>
    </row>
    <row r="174" spans="1:13">
      <c r="A174" s="125"/>
      <c r="B174" s="123"/>
      <c r="C174" s="121"/>
      <c r="D174" s="10">
        <v>0</v>
      </c>
      <c r="E174" s="13">
        <v>64</v>
      </c>
      <c r="F174" s="8" t="s">
        <v>315</v>
      </c>
      <c r="G174" s="7">
        <f t="shared" si="4"/>
        <v>170</v>
      </c>
      <c r="H174" s="1"/>
      <c r="I174" s="4"/>
      <c r="J174" s="3"/>
      <c r="K174" s="3"/>
      <c r="L174" s="1"/>
      <c r="M174" s="4"/>
    </row>
    <row r="175" spans="1:13">
      <c r="A175" s="125"/>
      <c r="B175" s="123"/>
      <c r="C175" s="121"/>
      <c r="D175" s="10">
        <v>0</v>
      </c>
      <c r="E175" s="13">
        <v>32</v>
      </c>
      <c r="F175" s="8" t="s">
        <v>316</v>
      </c>
      <c r="G175" s="7">
        <f t="shared" si="4"/>
        <v>171</v>
      </c>
      <c r="H175" s="1"/>
      <c r="I175" s="4"/>
      <c r="J175" s="3"/>
      <c r="K175" s="3"/>
      <c r="L175" s="1"/>
      <c r="M175" s="4"/>
    </row>
    <row r="176" spans="1:13">
      <c r="A176" s="125"/>
      <c r="B176" s="123"/>
      <c r="C176" s="121"/>
      <c r="D176" s="10">
        <v>0</v>
      </c>
      <c r="E176" s="13">
        <v>16</v>
      </c>
      <c r="F176" s="8" t="s">
        <v>317</v>
      </c>
      <c r="G176" s="7">
        <f t="shared" si="4"/>
        <v>172</v>
      </c>
      <c r="H176" s="1"/>
      <c r="I176" s="4"/>
      <c r="J176" s="3"/>
      <c r="K176" s="3"/>
      <c r="L176" s="1"/>
      <c r="M176" s="4"/>
    </row>
    <row r="177" spans="1:13">
      <c r="A177" s="125"/>
      <c r="B177" s="123"/>
      <c r="C177" s="121"/>
      <c r="D177" s="10">
        <v>0</v>
      </c>
      <c r="E177" s="13">
        <v>8</v>
      </c>
      <c r="F177" s="8" t="s">
        <v>318</v>
      </c>
      <c r="G177" s="7">
        <f t="shared" si="4"/>
        <v>173</v>
      </c>
      <c r="H177" s="1"/>
      <c r="I177" s="4"/>
      <c r="J177" s="3"/>
      <c r="K177" s="3"/>
      <c r="L177" s="1"/>
      <c r="M177" s="4"/>
    </row>
    <row r="178" spans="1:13">
      <c r="A178" s="125"/>
      <c r="B178" s="123"/>
      <c r="C178" s="121"/>
      <c r="D178" s="10">
        <v>0</v>
      </c>
      <c r="E178" s="14">
        <v>4</v>
      </c>
      <c r="F178" s="8" t="s">
        <v>319</v>
      </c>
      <c r="G178" s="7">
        <f t="shared" si="4"/>
        <v>174</v>
      </c>
      <c r="H178" s="1"/>
      <c r="I178" s="4"/>
      <c r="J178" s="3"/>
      <c r="K178" s="3"/>
      <c r="L178" s="1"/>
      <c r="M178" s="4"/>
    </row>
    <row r="179" spans="1:13">
      <c r="A179" s="125"/>
      <c r="B179" s="123"/>
      <c r="C179" s="121"/>
      <c r="D179" s="10">
        <v>0</v>
      </c>
      <c r="E179" s="14">
        <v>2</v>
      </c>
      <c r="F179" s="8" t="s">
        <v>320</v>
      </c>
      <c r="G179" s="7">
        <f t="shared" si="4"/>
        <v>175</v>
      </c>
      <c r="H179" s="1"/>
      <c r="I179" s="4"/>
      <c r="J179" s="3"/>
      <c r="K179" s="3"/>
      <c r="L179" s="1"/>
      <c r="M179" s="4"/>
    </row>
    <row r="180" spans="1:13">
      <c r="A180" s="125"/>
      <c r="B180" s="123"/>
      <c r="C180" s="121"/>
      <c r="D180" s="10">
        <v>0</v>
      </c>
      <c r="E180" s="14">
        <v>1</v>
      </c>
      <c r="F180" s="8" t="s">
        <v>321</v>
      </c>
      <c r="G180" s="7">
        <f t="shared" si="4"/>
        <v>176</v>
      </c>
      <c r="H180" s="1"/>
      <c r="I180" s="4"/>
      <c r="J180" s="3"/>
      <c r="K180" s="3"/>
      <c r="L180" s="1"/>
      <c r="M180" s="4"/>
    </row>
    <row r="181" spans="1:13">
      <c r="A181" s="125" t="s">
        <v>246</v>
      </c>
      <c r="B181" s="123" t="str">
        <f>DEC2HEX(C181)</f>
        <v>0</v>
      </c>
      <c r="C181" s="121">
        <f>SUMIF(D181:D188,1,E181:E188)</f>
        <v>0</v>
      </c>
      <c r="D181" s="10">
        <v>0</v>
      </c>
      <c r="E181" s="14">
        <v>128</v>
      </c>
      <c r="F181" s="8" t="s">
        <v>322</v>
      </c>
      <c r="G181" s="7">
        <f t="shared" si="4"/>
        <v>177</v>
      </c>
      <c r="H181" s="1"/>
      <c r="I181" s="4"/>
      <c r="J181" s="3"/>
      <c r="K181" s="3"/>
      <c r="L181" s="1"/>
      <c r="M181" s="5"/>
    </row>
    <row r="182" spans="1:13">
      <c r="A182" s="125"/>
      <c r="B182" s="123"/>
      <c r="C182" s="121"/>
      <c r="D182" s="10">
        <v>0</v>
      </c>
      <c r="E182" s="13">
        <v>64</v>
      </c>
      <c r="F182" s="8" t="s">
        <v>323</v>
      </c>
      <c r="G182" s="7">
        <f t="shared" si="4"/>
        <v>178</v>
      </c>
      <c r="H182" s="1"/>
      <c r="I182" s="4"/>
      <c r="J182" s="3"/>
      <c r="K182" s="3"/>
      <c r="L182" s="1"/>
      <c r="M182" s="4"/>
    </row>
    <row r="183" spans="1:13">
      <c r="A183" s="125"/>
      <c r="B183" s="123"/>
      <c r="C183" s="121"/>
      <c r="D183" s="10">
        <v>0</v>
      </c>
      <c r="E183" s="13">
        <v>32</v>
      </c>
      <c r="F183" s="8" t="s">
        <v>324</v>
      </c>
      <c r="G183" s="7">
        <f t="shared" si="4"/>
        <v>179</v>
      </c>
      <c r="H183" s="1"/>
      <c r="I183" s="4"/>
      <c r="J183" s="3"/>
      <c r="K183" s="3"/>
      <c r="L183" s="1"/>
      <c r="M183" s="4"/>
    </row>
    <row r="184" spans="1:13">
      <c r="A184" s="125"/>
      <c r="B184" s="123"/>
      <c r="C184" s="121"/>
      <c r="D184" s="10">
        <v>0</v>
      </c>
      <c r="E184" s="13">
        <v>16</v>
      </c>
      <c r="F184" s="8" t="s">
        <v>325</v>
      </c>
      <c r="G184" s="7">
        <f t="shared" si="4"/>
        <v>180</v>
      </c>
      <c r="H184" s="1"/>
      <c r="I184" s="4"/>
      <c r="J184" s="3"/>
      <c r="K184" s="3"/>
      <c r="L184" s="1"/>
      <c r="M184" s="4"/>
    </row>
    <row r="185" spans="1:13">
      <c r="A185" s="125"/>
      <c r="B185" s="123"/>
      <c r="C185" s="121"/>
      <c r="D185" s="10">
        <v>0</v>
      </c>
      <c r="E185" s="13">
        <v>8</v>
      </c>
      <c r="F185" s="8" t="s">
        <v>326</v>
      </c>
      <c r="G185" s="7">
        <f t="shared" si="4"/>
        <v>181</v>
      </c>
      <c r="H185" s="1"/>
      <c r="I185" s="4"/>
      <c r="J185" s="3"/>
      <c r="K185" s="3"/>
      <c r="L185" s="1"/>
      <c r="M185" s="4"/>
    </row>
    <row r="186" spans="1:13">
      <c r="A186" s="125"/>
      <c r="B186" s="123"/>
      <c r="C186" s="121"/>
      <c r="D186" s="10">
        <v>0</v>
      </c>
      <c r="E186" s="14">
        <v>4</v>
      </c>
      <c r="F186" s="8" t="s">
        <v>327</v>
      </c>
      <c r="G186" s="7">
        <f t="shared" si="4"/>
        <v>182</v>
      </c>
      <c r="H186" s="1"/>
      <c r="I186" s="4"/>
      <c r="J186" s="3"/>
      <c r="K186" s="3"/>
      <c r="L186" s="1"/>
      <c r="M186" s="4"/>
    </row>
    <row r="187" spans="1:13">
      <c r="A187" s="125"/>
      <c r="B187" s="123"/>
      <c r="C187" s="121"/>
      <c r="D187" s="10">
        <v>0</v>
      </c>
      <c r="E187" s="14">
        <v>2</v>
      </c>
      <c r="F187" s="8" t="s">
        <v>328</v>
      </c>
      <c r="G187" s="7">
        <f t="shared" si="4"/>
        <v>183</v>
      </c>
      <c r="H187" s="1"/>
      <c r="I187" s="4"/>
      <c r="J187" s="3"/>
      <c r="K187" s="3"/>
      <c r="L187" s="1"/>
      <c r="M187" s="4"/>
    </row>
    <row r="188" spans="1:13">
      <c r="A188" s="125"/>
      <c r="B188" s="123"/>
      <c r="C188" s="121"/>
      <c r="D188" s="10">
        <v>0</v>
      </c>
      <c r="E188" s="14">
        <v>1</v>
      </c>
      <c r="F188" s="8" t="s">
        <v>329</v>
      </c>
      <c r="G188" s="7">
        <f t="shared" si="4"/>
        <v>184</v>
      </c>
      <c r="H188" s="1"/>
      <c r="I188" s="4"/>
      <c r="J188" s="3"/>
      <c r="K188" s="3"/>
      <c r="L188" s="1"/>
      <c r="M188" s="4"/>
    </row>
    <row r="189" spans="1:13">
      <c r="A189" s="125" t="s">
        <v>247</v>
      </c>
      <c r="B189" s="123" t="str">
        <f>DEC2HEX(C189)</f>
        <v>1</v>
      </c>
      <c r="C189" s="121">
        <f>SUMIF(D189:D196,1,E189:E196)</f>
        <v>1</v>
      </c>
      <c r="D189" s="10">
        <v>0</v>
      </c>
      <c r="E189" s="14">
        <v>128</v>
      </c>
      <c r="F189" s="8" t="s">
        <v>330</v>
      </c>
      <c r="G189" s="7">
        <f t="shared" si="4"/>
        <v>185</v>
      </c>
      <c r="H189" s="1"/>
      <c r="I189" s="4"/>
      <c r="J189" s="3"/>
      <c r="K189" s="3"/>
      <c r="L189" s="1"/>
      <c r="M189" s="5"/>
    </row>
    <row r="190" spans="1:13">
      <c r="A190" s="125"/>
      <c r="B190" s="123"/>
      <c r="C190" s="121"/>
      <c r="D190" s="10">
        <v>0</v>
      </c>
      <c r="E190" s="13">
        <v>64</v>
      </c>
      <c r="F190" s="8" t="s">
        <v>331</v>
      </c>
      <c r="G190" s="7">
        <f t="shared" si="4"/>
        <v>186</v>
      </c>
      <c r="H190" s="1"/>
      <c r="I190" s="4"/>
      <c r="J190" s="3"/>
      <c r="K190" s="3"/>
      <c r="L190" s="1"/>
      <c r="M190" s="4"/>
    </row>
    <row r="191" spans="1:13">
      <c r="A191" s="125"/>
      <c r="B191" s="123"/>
      <c r="C191" s="121"/>
      <c r="D191" s="10">
        <v>0</v>
      </c>
      <c r="E191" s="13">
        <v>32</v>
      </c>
      <c r="F191" s="8" t="s">
        <v>332</v>
      </c>
      <c r="G191" s="7">
        <f t="shared" si="4"/>
        <v>187</v>
      </c>
      <c r="H191" s="1"/>
      <c r="I191" s="4"/>
      <c r="J191" s="3"/>
      <c r="K191" s="3"/>
      <c r="L191" s="1"/>
      <c r="M191" s="4"/>
    </row>
    <row r="192" spans="1:13">
      <c r="A192" s="125"/>
      <c r="B192" s="123"/>
      <c r="C192" s="121"/>
      <c r="D192" s="10">
        <v>0</v>
      </c>
      <c r="E192" s="13">
        <v>16</v>
      </c>
      <c r="F192" s="8" t="s">
        <v>333</v>
      </c>
      <c r="G192" s="7">
        <f t="shared" si="4"/>
        <v>188</v>
      </c>
      <c r="H192" s="1"/>
      <c r="I192" s="4"/>
      <c r="J192" s="3"/>
      <c r="K192" s="3"/>
      <c r="L192" s="1"/>
      <c r="M192" s="4"/>
    </row>
    <row r="193" spans="1:13">
      <c r="A193" s="125"/>
      <c r="B193" s="123"/>
      <c r="C193" s="121"/>
      <c r="D193" s="10">
        <v>0</v>
      </c>
      <c r="E193" s="13">
        <v>8</v>
      </c>
      <c r="F193" s="8" t="s">
        <v>334</v>
      </c>
      <c r="G193" s="7">
        <f t="shared" si="4"/>
        <v>189</v>
      </c>
      <c r="H193" s="1"/>
      <c r="I193" s="4"/>
      <c r="J193" s="3"/>
      <c r="K193" s="3"/>
      <c r="L193" s="1"/>
      <c r="M193" s="4"/>
    </row>
    <row r="194" spans="1:13">
      <c r="A194" s="125"/>
      <c r="B194" s="123"/>
      <c r="C194" s="121"/>
      <c r="D194" s="10">
        <v>0</v>
      </c>
      <c r="E194" s="14">
        <v>4</v>
      </c>
      <c r="F194" s="8" t="s">
        <v>252</v>
      </c>
      <c r="G194" s="7">
        <f t="shared" si="4"/>
        <v>190</v>
      </c>
      <c r="H194" s="1"/>
      <c r="I194" s="4"/>
      <c r="J194" s="3"/>
      <c r="K194" s="3"/>
      <c r="L194" s="1"/>
      <c r="M194" s="4"/>
    </row>
    <row r="195" spans="1:13">
      <c r="A195" s="125"/>
      <c r="B195" s="123"/>
      <c r="C195" s="121"/>
      <c r="D195" s="10">
        <v>0</v>
      </c>
      <c r="E195" s="14">
        <v>2</v>
      </c>
      <c r="F195" s="8" t="s">
        <v>335</v>
      </c>
      <c r="G195" s="7">
        <f t="shared" si="4"/>
        <v>191</v>
      </c>
      <c r="H195" s="1"/>
      <c r="I195" s="4"/>
      <c r="J195" s="3"/>
      <c r="K195" s="3"/>
      <c r="L195" s="1"/>
      <c r="M195" s="4"/>
    </row>
    <row r="196" spans="1:13" s="15" customFormat="1" ht="16" thickBot="1">
      <c r="A196" s="126"/>
      <c r="B196" s="124"/>
      <c r="C196" s="122"/>
      <c r="D196" s="16">
        <v>1</v>
      </c>
      <c r="E196" s="33">
        <v>1</v>
      </c>
      <c r="F196" s="22" t="s">
        <v>236</v>
      </c>
      <c r="G196" s="17">
        <f>HEX2DEC(F196)</f>
        <v>192</v>
      </c>
      <c r="H196" s="18">
        <v>4</v>
      </c>
      <c r="I196" s="19" t="s">
        <v>237</v>
      </c>
      <c r="J196" s="20"/>
      <c r="K196" s="20"/>
      <c r="L196" s="18"/>
      <c r="M196" s="21" t="s">
        <v>238</v>
      </c>
    </row>
    <row r="197" spans="1:13">
      <c r="A197" s="132" t="s">
        <v>244</v>
      </c>
      <c r="B197" s="128" t="str">
        <f>DEC2HEX(C197)</f>
        <v>0</v>
      </c>
      <c r="C197" s="127">
        <f>SUMIF(D197:D204,1,E197:E204)</f>
        <v>0</v>
      </c>
      <c r="D197" s="10">
        <v>0</v>
      </c>
      <c r="E197" s="13">
        <v>128</v>
      </c>
      <c r="F197" s="8" t="s">
        <v>292</v>
      </c>
      <c r="G197" s="7">
        <f t="shared" si="4"/>
        <v>193</v>
      </c>
      <c r="H197" s="1"/>
      <c r="I197" s="4"/>
      <c r="J197" s="3"/>
      <c r="K197" s="3"/>
      <c r="L197" s="1"/>
      <c r="M197" s="5"/>
    </row>
    <row r="198" spans="1:13">
      <c r="A198" s="125"/>
      <c r="B198" s="123"/>
      <c r="C198" s="121"/>
      <c r="D198" s="10">
        <v>0</v>
      </c>
      <c r="E198" s="13">
        <v>64</v>
      </c>
      <c r="F198" s="8" t="s">
        <v>293</v>
      </c>
      <c r="G198" s="7">
        <f t="shared" si="4"/>
        <v>194</v>
      </c>
      <c r="H198" s="1"/>
      <c r="I198" s="4"/>
      <c r="J198" s="3"/>
      <c r="K198" s="3"/>
      <c r="L198" s="1"/>
      <c r="M198" s="5"/>
    </row>
    <row r="199" spans="1:13" ht="30">
      <c r="A199" s="125"/>
      <c r="B199" s="123"/>
      <c r="C199" s="121"/>
      <c r="D199" s="10">
        <v>0</v>
      </c>
      <c r="E199" s="13">
        <v>32</v>
      </c>
      <c r="F199" s="8" t="s">
        <v>239</v>
      </c>
      <c r="G199" s="7">
        <f t="shared" si="4"/>
        <v>195</v>
      </c>
      <c r="H199" s="1" t="s">
        <v>240</v>
      </c>
      <c r="I199" s="4" t="s">
        <v>240</v>
      </c>
      <c r="J199" s="3" t="s">
        <v>240</v>
      </c>
      <c r="K199" s="3" t="s">
        <v>240</v>
      </c>
      <c r="L199" s="1" t="s">
        <v>240</v>
      </c>
      <c r="M199" s="4" t="s">
        <v>241</v>
      </c>
    </row>
    <row r="200" spans="1:13">
      <c r="A200" s="125"/>
      <c r="B200" s="123"/>
      <c r="C200" s="121"/>
      <c r="D200" s="10">
        <v>0</v>
      </c>
      <c r="E200" s="13">
        <v>16</v>
      </c>
      <c r="F200" s="8" t="s">
        <v>242</v>
      </c>
      <c r="G200" s="7">
        <f t="shared" si="4"/>
        <v>196</v>
      </c>
      <c r="H200" s="1" t="s">
        <v>240</v>
      </c>
      <c r="I200" s="4" t="s">
        <v>240</v>
      </c>
      <c r="J200" s="3" t="s">
        <v>240</v>
      </c>
      <c r="K200" s="3" t="s">
        <v>240</v>
      </c>
      <c r="L200" s="1" t="s">
        <v>240</v>
      </c>
      <c r="M200" s="4" t="s">
        <v>291</v>
      </c>
    </row>
    <row r="201" spans="1:13">
      <c r="A201" s="125"/>
      <c r="B201" s="123"/>
      <c r="C201" s="121"/>
      <c r="E201" s="13"/>
      <c r="F201" s="2" t="s">
        <v>0</v>
      </c>
      <c r="G201" s="2" t="s">
        <v>0</v>
      </c>
      <c r="H201" s="120" t="s">
        <v>2</v>
      </c>
      <c r="I201" s="120" t="s">
        <v>3</v>
      </c>
      <c r="J201" s="120" t="s">
        <v>4</v>
      </c>
      <c r="K201" s="120" t="s">
        <v>5</v>
      </c>
      <c r="L201" s="120" t="s">
        <v>6</v>
      </c>
      <c r="M201" s="133" t="s">
        <v>7</v>
      </c>
    </row>
    <row r="202" spans="1:13">
      <c r="A202" s="125"/>
      <c r="B202" s="123"/>
      <c r="C202" s="121"/>
      <c r="E202" s="14"/>
      <c r="F202" s="2" t="s">
        <v>1</v>
      </c>
      <c r="G202" s="2" t="s">
        <v>243</v>
      </c>
      <c r="H202" s="120"/>
      <c r="I202" s="120"/>
      <c r="J202" s="120"/>
      <c r="K202" s="120"/>
      <c r="L202" s="120"/>
      <c r="M202" s="133"/>
    </row>
    <row r="203" spans="1:13">
      <c r="A203" s="125"/>
      <c r="B203" s="123"/>
      <c r="C203" s="121"/>
      <c r="E203" s="14"/>
    </row>
    <row r="204" spans="1:13" ht="16" thickBot="1">
      <c r="A204" s="126"/>
      <c r="B204" s="124"/>
      <c r="C204" s="122"/>
      <c r="E204" s="13"/>
    </row>
    <row r="205" spans="1:13">
      <c r="A205" s="14"/>
      <c r="B205" s="11"/>
      <c r="C205" s="14"/>
    </row>
  </sheetData>
  <mergeCells count="111">
    <mergeCell ref="M1:M2"/>
    <mergeCell ref="J9:J13"/>
    <mergeCell ref="K9:K13"/>
    <mergeCell ref="L9:L13"/>
    <mergeCell ref="G9:G10"/>
    <mergeCell ref="H1:H2"/>
    <mergeCell ref="I1:I2"/>
    <mergeCell ref="J1:J2"/>
    <mergeCell ref="K1:K2"/>
    <mergeCell ref="L1:L2"/>
    <mergeCell ref="A189:A196"/>
    <mergeCell ref="B189:B196"/>
    <mergeCell ref="C189:C196"/>
    <mergeCell ref="B197:B204"/>
    <mergeCell ref="C197:C204"/>
    <mergeCell ref="A197:A204"/>
    <mergeCell ref="F9:F10"/>
    <mergeCell ref="H9:H10"/>
    <mergeCell ref="I9:I10"/>
    <mergeCell ref="A165:A172"/>
    <mergeCell ref="B165:B172"/>
    <mergeCell ref="C165:C172"/>
    <mergeCell ref="A173:A180"/>
    <mergeCell ref="B173:B180"/>
    <mergeCell ref="C173:C180"/>
    <mergeCell ref="A181:A188"/>
    <mergeCell ref="B181:B188"/>
    <mergeCell ref="C181:C188"/>
    <mergeCell ref="H201:H202"/>
    <mergeCell ref="I201:I202"/>
    <mergeCell ref="B141:B148"/>
    <mergeCell ref="C141:C148"/>
    <mergeCell ref="A4:A12"/>
    <mergeCell ref="A13:A20"/>
    <mergeCell ref="J89:J92"/>
    <mergeCell ref="K89:K92"/>
    <mergeCell ref="L89:L92"/>
    <mergeCell ref="J64:J67"/>
    <mergeCell ref="K64:K67"/>
    <mergeCell ref="L64:L67"/>
    <mergeCell ref="M64:M67"/>
    <mergeCell ref="J75:J80"/>
    <mergeCell ref="K75:K80"/>
    <mergeCell ref="L75:L80"/>
    <mergeCell ref="M75:M80"/>
    <mergeCell ref="J201:J202"/>
    <mergeCell ref="K201:K202"/>
    <mergeCell ref="L201:L202"/>
    <mergeCell ref="M201:M202"/>
    <mergeCell ref="A45:A52"/>
    <mergeCell ref="A93:A100"/>
    <mergeCell ref="A101:A108"/>
    <mergeCell ref="A109:A116"/>
    <mergeCell ref="A117:A124"/>
    <mergeCell ref="A125:A132"/>
    <mergeCell ref="A133:A140"/>
    <mergeCell ref="A141:A148"/>
    <mergeCell ref="A149:A156"/>
    <mergeCell ref="B149:B156"/>
    <mergeCell ref="C149:C156"/>
    <mergeCell ref="A157:A164"/>
    <mergeCell ref="B157:B164"/>
    <mergeCell ref="C157:C164"/>
    <mergeCell ref="J81:J82"/>
    <mergeCell ref="K81:K82"/>
    <mergeCell ref="L81:L82"/>
    <mergeCell ref="M81:M82"/>
    <mergeCell ref="B133:B140"/>
    <mergeCell ref="C133:C140"/>
    <mergeCell ref="E9:E10"/>
    <mergeCell ref="A37:A44"/>
    <mergeCell ref="C101:C108"/>
    <mergeCell ref="C109:C116"/>
    <mergeCell ref="C117:C124"/>
    <mergeCell ref="C125:C132"/>
    <mergeCell ref="D9:D10"/>
    <mergeCell ref="B93:B100"/>
    <mergeCell ref="B101:B108"/>
    <mergeCell ref="B109:B116"/>
    <mergeCell ref="B117:B124"/>
    <mergeCell ref="B125:B132"/>
    <mergeCell ref="C77:C84"/>
    <mergeCell ref="B69:B76"/>
    <mergeCell ref="B77:B84"/>
    <mergeCell ref="B85:B92"/>
    <mergeCell ref="A69:A76"/>
    <mergeCell ref="A77:A84"/>
    <mergeCell ref="A85:A92"/>
    <mergeCell ref="C85:C92"/>
    <mergeCell ref="C93:C100"/>
    <mergeCell ref="C45:C52"/>
    <mergeCell ref="C53:C60"/>
    <mergeCell ref="C61:C68"/>
    <mergeCell ref="B45:B52"/>
    <mergeCell ref="B53:B60"/>
    <mergeCell ref="B61:B68"/>
    <mergeCell ref="A53:A60"/>
    <mergeCell ref="A61:A68"/>
    <mergeCell ref="C69:C76"/>
    <mergeCell ref="C4:C12"/>
    <mergeCell ref="B4:B12"/>
    <mergeCell ref="B13:B20"/>
    <mergeCell ref="C13:C20"/>
    <mergeCell ref="B21:B28"/>
    <mergeCell ref="C21:C28"/>
    <mergeCell ref="B29:B36"/>
    <mergeCell ref="C29:C36"/>
    <mergeCell ref="B37:B44"/>
    <mergeCell ref="C37:C44"/>
    <mergeCell ref="A21:A28"/>
    <mergeCell ref="A29:A36"/>
  </mergeCells>
  <hyperlinks>
    <hyperlink ref="M1" r:id="rId1" location="cite_note-formula-3"/>
    <hyperlink ref="M3" r:id="rId2" location="Mode_1_PID_00"/>
    <hyperlink ref="M4" r:id="rId3" location="Mode_1_PID_01"/>
    <hyperlink ref="M6" r:id="rId4" location="Mode_1_PID_03"/>
    <hyperlink ref="I14" r:id="rId5" location="Absolute.2C_gauge_and_differential_pressures_-_zero_reference" tooltip="Pressure measurement"/>
    <hyperlink ref="L18" r:id="rId6" tooltip="Dead centre (engineering)"/>
    <hyperlink ref="M22" r:id="rId7" location="Mode_1_PID_12"/>
    <hyperlink ref="M32" r:id="rId8" location="Mode_1_PID_1C"/>
    <hyperlink ref="M34" r:id="rId9" tooltip="Power Take Off" display="A0 == Power Take Off (PTO) status (1 == active)"/>
    <hyperlink ref="M36" r:id="rId10" location="Mode_1_PID_00"/>
    <hyperlink ref="I38" r:id="rId11" tooltip="Fuel rail"/>
    <hyperlink ref="I39" r:id="rId12" tooltip="Fuel rail"/>
    <hyperlink ref="I48" r:id="rId13" tooltip="Exhaust gas recirculation"/>
    <hyperlink ref="M68" r:id="rId14" location="Mode_1_PID_00"/>
    <hyperlink ref="M69" r:id="rId15" location="Mode_1_PID_41"/>
    <hyperlink ref="M85" r:id="rId16" location="Fuel_Type_Coding"/>
    <hyperlink ref="I93" r:id="rId17" tooltip="Fuel rail"/>
    <hyperlink ref="M100" r:id="rId18" location="Mode_1_PID_00"/>
    <hyperlink ref="M124" r:id="rId19" location="Mode_1_PID_78"/>
    <hyperlink ref="M125" r:id="rId20" location="Mode_1_PID_78"/>
    <hyperlink ref="M132" r:id="rId21" location="Mode_1_PID_00"/>
    <hyperlink ref="M164" r:id="rId22" location="Mode_1_PID_00"/>
    <hyperlink ref="M196" r:id="rId23" location="Mode_1_PID_00"/>
    <hyperlink ref="M201" r:id="rId24" location="cite_note-formula-3"/>
  </hyperlinks>
  <pageMargins left="0.75" right="0.75" top="1" bottom="1" header="0.5" footer="0.5"/>
  <pageSetup paperSize="9" orientation="portrait" horizontalDpi="4294967292" verticalDpi="4294967292"/>
  <drawing r:id="rId2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1"/>
  <sheetViews>
    <sheetView workbookViewId="0">
      <pane ySplit="2" topLeftCell="A3" activePane="bottomLeft" state="frozenSplit"/>
      <selection sqref="A1:XFD2"/>
      <selection pane="bottomLeft" activeCell="E21" sqref="E21"/>
    </sheetView>
  </sheetViews>
  <sheetFormatPr baseColWidth="10" defaultColWidth="4" defaultRowHeight="15" x14ac:dyDescent="0"/>
  <cols>
    <col min="1" max="1" width="16" style="35" bestFit="1" customWidth="1"/>
    <col min="2" max="2" width="14.33203125" style="35" bestFit="1" customWidth="1"/>
    <col min="3" max="10" width="4" style="35"/>
    <col min="11" max="11" width="4.1640625" style="35" bestFit="1" customWidth="1"/>
    <col min="12" max="19" width="4" style="35"/>
    <col min="20" max="20" width="6.1640625" style="35" bestFit="1" customWidth="1"/>
    <col min="21" max="16384" width="4" style="35"/>
  </cols>
  <sheetData>
    <row r="1" spans="1:50 16384:16384" s="41" customFormat="1">
      <c r="B1" s="41" t="s">
        <v>355</v>
      </c>
      <c r="C1" s="45">
        <v>128</v>
      </c>
      <c r="D1" s="45">
        <v>64</v>
      </c>
      <c r="E1" s="45">
        <v>32</v>
      </c>
      <c r="F1" s="45">
        <v>16</v>
      </c>
      <c r="G1" s="45">
        <v>8</v>
      </c>
      <c r="H1" s="45">
        <v>4</v>
      </c>
      <c r="I1" s="45">
        <v>2</v>
      </c>
      <c r="J1" s="45">
        <v>1</v>
      </c>
      <c r="K1" s="45">
        <v>128</v>
      </c>
      <c r="L1" s="45">
        <v>64</v>
      </c>
      <c r="M1" s="45">
        <v>32</v>
      </c>
      <c r="N1" s="45">
        <v>16</v>
      </c>
      <c r="O1" s="45">
        <v>8</v>
      </c>
      <c r="P1" s="45">
        <v>4</v>
      </c>
      <c r="Q1" s="45">
        <v>2</v>
      </c>
      <c r="R1" s="45">
        <v>1</v>
      </c>
      <c r="S1" s="45">
        <v>128</v>
      </c>
      <c r="T1" s="45">
        <v>64</v>
      </c>
      <c r="U1" s="45">
        <v>32</v>
      </c>
      <c r="V1" s="45">
        <v>16</v>
      </c>
      <c r="W1" s="45">
        <v>8</v>
      </c>
      <c r="X1" s="45">
        <v>4</v>
      </c>
      <c r="Y1" s="45">
        <v>2</v>
      </c>
      <c r="Z1" s="45">
        <v>1</v>
      </c>
      <c r="AA1" s="45">
        <v>128</v>
      </c>
      <c r="AB1" s="45">
        <v>64</v>
      </c>
      <c r="AC1" s="45">
        <v>32</v>
      </c>
      <c r="AD1" s="45">
        <v>16</v>
      </c>
      <c r="AE1" s="45">
        <v>8</v>
      </c>
      <c r="AF1" s="45">
        <v>4</v>
      </c>
      <c r="AG1" s="45">
        <v>2</v>
      </c>
      <c r="AH1" s="45">
        <v>1</v>
      </c>
      <c r="AI1" s="45">
        <v>128</v>
      </c>
      <c r="AJ1" s="45">
        <v>64</v>
      </c>
      <c r="AK1" s="45">
        <v>32</v>
      </c>
      <c r="AL1" s="45">
        <v>16</v>
      </c>
      <c r="AM1" s="45">
        <v>8</v>
      </c>
      <c r="AN1" s="45">
        <v>4</v>
      </c>
      <c r="AO1" s="45">
        <v>2</v>
      </c>
      <c r="AP1" s="45">
        <v>1</v>
      </c>
      <c r="AQ1" s="45">
        <v>128</v>
      </c>
      <c r="AR1" s="45">
        <v>64</v>
      </c>
      <c r="AS1" s="45">
        <v>32</v>
      </c>
      <c r="AT1" s="45">
        <v>16</v>
      </c>
      <c r="AU1" s="45">
        <v>8</v>
      </c>
      <c r="AV1" s="45">
        <v>4</v>
      </c>
      <c r="AW1" s="45">
        <v>2</v>
      </c>
      <c r="AX1" s="45">
        <v>1</v>
      </c>
    </row>
    <row r="2" spans="1:50 16384:16384" s="41" customFormat="1">
      <c r="B2" s="41" t="s">
        <v>336</v>
      </c>
      <c r="C2" s="45" t="str">
        <f>DEC2HEX(C1)</f>
        <v>80</v>
      </c>
      <c r="D2" s="45" t="str">
        <f t="shared" ref="D2:AP2" si="0">DEC2HEX(D1)</f>
        <v>40</v>
      </c>
      <c r="E2" s="45" t="str">
        <f t="shared" si="0"/>
        <v>20</v>
      </c>
      <c r="F2" s="45" t="str">
        <f t="shared" si="0"/>
        <v>10</v>
      </c>
      <c r="G2" s="45" t="str">
        <f t="shared" si="0"/>
        <v>8</v>
      </c>
      <c r="H2" s="45" t="str">
        <f t="shared" si="0"/>
        <v>4</v>
      </c>
      <c r="I2" s="45" t="str">
        <f t="shared" si="0"/>
        <v>2</v>
      </c>
      <c r="J2" s="45" t="str">
        <f t="shared" si="0"/>
        <v>1</v>
      </c>
      <c r="K2" s="45" t="str">
        <f t="shared" si="0"/>
        <v>80</v>
      </c>
      <c r="L2" s="45" t="str">
        <f t="shared" si="0"/>
        <v>40</v>
      </c>
      <c r="M2" s="45" t="str">
        <f t="shared" si="0"/>
        <v>20</v>
      </c>
      <c r="N2" s="45" t="str">
        <f t="shared" si="0"/>
        <v>10</v>
      </c>
      <c r="O2" s="45" t="str">
        <f t="shared" si="0"/>
        <v>8</v>
      </c>
      <c r="P2" s="45" t="str">
        <f t="shared" si="0"/>
        <v>4</v>
      </c>
      <c r="Q2" s="45" t="str">
        <f t="shared" si="0"/>
        <v>2</v>
      </c>
      <c r="R2" s="45" t="str">
        <f t="shared" si="0"/>
        <v>1</v>
      </c>
      <c r="S2" s="45" t="str">
        <f t="shared" si="0"/>
        <v>80</v>
      </c>
      <c r="T2" s="45" t="str">
        <f t="shared" si="0"/>
        <v>40</v>
      </c>
      <c r="U2" s="45" t="str">
        <f t="shared" si="0"/>
        <v>20</v>
      </c>
      <c r="V2" s="45" t="str">
        <f t="shared" si="0"/>
        <v>10</v>
      </c>
      <c r="W2" s="45" t="str">
        <f t="shared" si="0"/>
        <v>8</v>
      </c>
      <c r="X2" s="45" t="str">
        <f t="shared" si="0"/>
        <v>4</v>
      </c>
      <c r="Y2" s="45" t="str">
        <f t="shared" si="0"/>
        <v>2</v>
      </c>
      <c r="Z2" s="45" t="str">
        <f t="shared" si="0"/>
        <v>1</v>
      </c>
      <c r="AA2" s="45" t="str">
        <f t="shared" si="0"/>
        <v>80</v>
      </c>
      <c r="AB2" s="45" t="str">
        <f t="shared" si="0"/>
        <v>40</v>
      </c>
      <c r="AC2" s="45" t="str">
        <f t="shared" si="0"/>
        <v>20</v>
      </c>
      <c r="AD2" s="45" t="str">
        <f t="shared" si="0"/>
        <v>10</v>
      </c>
      <c r="AE2" s="45" t="str">
        <f t="shared" si="0"/>
        <v>8</v>
      </c>
      <c r="AF2" s="45" t="str">
        <f t="shared" si="0"/>
        <v>4</v>
      </c>
      <c r="AG2" s="45" t="str">
        <f t="shared" si="0"/>
        <v>2</v>
      </c>
      <c r="AH2" s="45" t="str">
        <f t="shared" si="0"/>
        <v>1</v>
      </c>
      <c r="AI2" s="45" t="str">
        <f t="shared" si="0"/>
        <v>80</v>
      </c>
      <c r="AJ2" s="45" t="str">
        <f t="shared" si="0"/>
        <v>40</v>
      </c>
      <c r="AK2" s="45" t="str">
        <f t="shared" si="0"/>
        <v>20</v>
      </c>
      <c r="AL2" s="45" t="str">
        <f t="shared" si="0"/>
        <v>10</v>
      </c>
      <c r="AM2" s="45" t="str">
        <f t="shared" si="0"/>
        <v>8</v>
      </c>
      <c r="AN2" s="45" t="str">
        <f t="shared" si="0"/>
        <v>4</v>
      </c>
      <c r="AO2" s="45" t="str">
        <f t="shared" si="0"/>
        <v>2</v>
      </c>
      <c r="AP2" s="45" t="str">
        <f t="shared" si="0"/>
        <v>1</v>
      </c>
      <c r="AQ2" s="45" t="str">
        <f t="shared" ref="AQ2" si="1">DEC2HEX(AQ1)</f>
        <v>80</v>
      </c>
      <c r="AR2" s="45" t="str">
        <f t="shared" ref="AR2" si="2">DEC2HEX(AR1)</f>
        <v>40</v>
      </c>
      <c r="AS2" s="45" t="str">
        <f t="shared" ref="AS2" si="3">DEC2HEX(AS1)</f>
        <v>20</v>
      </c>
      <c r="AT2" s="45" t="str">
        <f t="shared" ref="AT2" si="4">DEC2HEX(AT1)</f>
        <v>10</v>
      </c>
      <c r="AU2" s="45" t="str">
        <f t="shared" ref="AU2" si="5">DEC2HEX(AU1)</f>
        <v>8</v>
      </c>
      <c r="AV2" s="45" t="str">
        <f t="shared" ref="AV2" si="6">DEC2HEX(AV1)</f>
        <v>4</v>
      </c>
      <c r="AW2" s="45" t="str">
        <f t="shared" ref="AW2" si="7">DEC2HEX(AW1)</f>
        <v>2</v>
      </c>
      <c r="AX2" s="45" t="str">
        <f t="shared" ref="AX2" si="8">DEC2HEX(AX1)</f>
        <v>1</v>
      </c>
    </row>
    <row r="3" spans="1:50 16384:16384">
      <c r="A3" s="41"/>
      <c r="B3" s="57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58"/>
      <c r="U3" s="58"/>
      <c r="V3" s="58"/>
      <c r="W3" s="58"/>
      <c r="X3" s="58"/>
      <c r="Y3" s="58"/>
      <c r="Z3" s="58"/>
      <c r="AA3" s="41"/>
      <c r="AB3" s="41"/>
      <c r="AC3" s="41"/>
      <c r="AD3" s="59"/>
      <c r="AE3" s="59"/>
      <c r="AF3" s="59"/>
      <c r="AG3" s="59"/>
      <c r="AH3" s="41"/>
      <c r="AI3" s="41"/>
      <c r="AJ3" s="59"/>
      <c r="AK3" s="59"/>
      <c r="AL3" s="59"/>
      <c r="AM3" s="59"/>
      <c r="AN3" s="59"/>
      <c r="AO3" s="59"/>
      <c r="AP3" s="59"/>
    </row>
    <row r="4" spans="1:50 16384:16384" ht="16" thickBot="1"/>
    <row r="5" spans="1:50 16384:16384">
      <c r="A5" s="59" t="s">
        <v>1477</v>
      </c>
      <c r="C5" s="145">
        <v>58</v>
      </c>
      <c r="D5" s="143"/>
      <c r="E5" s="143"/>
      <c r="F5" s="143"/>
      <c r="G5" s="143"/>
      <c r="H5" s="143"/>
      <c r="I5" s="143"/>
      <c r="J5" s="144"/>
      <c r="K5" s="145" t="s">
        <v>377</v>
      </c>
      <c r="L5" s="143"/>
      <c r="M5" s="143"/>
      <c r="N5" s="143"/>
      <c r="O5" s="143"/>
      <c r="P5" s="143"/>
      <c r="Q5" s="143"/>
      <c r="R5" s="144"/>
      <c r="S5" s="145" t="s">
        <v>375</v>
      </c>
      <c r="T5" s="143"/>
      <c r="U5" s="143"/>
      <c r="V5" s="143"/>
      <c r="W5" s="143"/>
      <c r="X5" s="143"/>
      <c r="Y5" s="143"/>
      <c r="Z5" s="144"/>
      <c r="AA5" s="145" t="s">
        <v>376</v>
      </c>
      <c r="AB5" s="143"/>
      <c r="AC5" s="143"/>
      <c r="AD5" s="143"/>
      <c r="AE5" s="143"/>
      <c r="AF5" s="143"/>
      <c r="AG5" s="143"/>
      <c r="AH5" s="144"/>
      <c r="AI5" s="145" t="s">
        <v>374</v>
      </c>
      <c r="AJ5" s="143"/>
      <c r="AK5" s="143"/>
      <c r="AL5" s="143"/>
      <c r="AM5" s="143"/>
      <c r="AN5" s="143"/>
      <c r="AO5" s="143"/>
      <c r="AP5" s="144"/>
    </row>
    <row r="6" spans="1:50 16384:16384">
      <c r="A6" s="120" t="s">
        <v>1478</v>
      </c>
      <c r="C6" s="149" t="str">
        <f>DEC2HEX(C7)</f>
        <v>0</v>
      </c>
      <c r="D6" s="146"/>
      <c r="E6" s="146"/>
      <c r="F6" s="146"/>
      <c r="G6" s="146"/>
      <c r="H6" s="146"/>
      <c r="I6" s="146"/>
      <c r="J6" s="150"/>
      <c r="K6" s="149" t="str">
        <f>DEC2HEX(K7)</f>
        <v>10</v>
      </c>
      <c r="L6" s="146"/>
      <c r="M6" s="146"/>
      <c r="N6" s="146"/>
      <c r="O6" s="146"/>
      <c r="P6" s="146"/>
      <c r="Q6" s="146"/>
      <c r="R6" s="150"/>
      <c r="S6" s="149" t="str">
        <f>DEC2HEX(S7)</f>
        <v>0</v>
      </c>
      <c r="T6" s="146"/>
      <c r="U6" s="146"/>
      <c r="V6" s="146"/>
      <c r="W6" s="146"/>
      <c r="X6" s="146"/>
      <c r="Y6" s="146"/>
      <c r="Z6" s="150"/>
      <c r="AA6" s="149" t="str">
        <f>DEC2HEX(AA7)</f>
        <v>0</v>
      </c>
      <c r="AB6" s="146"/>
      <c r="AC6" s="146"/>
      <c r="AD6" s="146"/>
      <c r="AE6" s="146"/>
      <c r="AF6" s="146"/>
      <c r="AG6" s="146"/>
      <c r="AH6" s="150"/>
      <c r="AI6" s="149" t="str">
        <f>DEC2HEX(AI7)</f>
        <v>2</v>
      </c>
      <c r="AJ6" s="146"/>
      <c r="AK6" s="146"/>
      <c r="AL6" s="146"/>
      <c r="AM6" s="146"/>
      <c r="AN6" s="146"/>
      <c r="AO6" s="146"/>
      <c r="AP6" s="150"/>
    </row>
    <row r="7" spans="1:50 16384:16384">
      <c r="A7" s="120"/>
      <c r="C7" s="149">
        <f>SUM(C8:J8)</f>
        <v>0</v>
      </c>
      <c r="D7" s="146"/>
      <c r="E7" s="146"/>
      <c r="F7" s="146"/>
      <c r="G7" s="146"/>
      <c r="H7" s="146"/>
      <c r="I7" s="146"/>
      <c r="J7" s="150"/>
      <c r="K7" s="149">
        <f>SUM(K8:R8)</f>
        <v>16</v>
      </c>
      <c r="L7" s="146"/>
      <c r="M7" s="146"/>
      <c r="N7" s="146"/>
      <c r="O7" s="146"/>
      <c r="P7" s="146"/>
      <c r="Q7" s="146"/>
      <c r="R7" s="150"/>
      <c r="S7" s="149">
        <f>SUM(S8:Z8)</f>
        <v>0</v>
      </c>
      <c r="T7" s="146"/>
      <c r="U7" s="146"/>
      <c r="V7" s="146"/>
      <c r="W7" s="146"/>
      <c r="X7" s="146"/>
      <c r="Y7" s="146"/>
      <c r="Z7" s="150"/>
      <c r="AA7" s="149">
        <f>SUM(AA8:AH8)</f>
        <v>0</v>
      </c>
      <c r="AB7" s="146"/>
      <c r="AC7" s="146"/>
      <c r="AD7" s="146"/>
      <c r="AE7" s="146"/>
      <c r="AF7" s="146"/>
      <c r="AG7" s="146"/>
      <c r="AH7" s="150"/>
      <c r="AI7" s="149">
        <f>SUM(AI8:AP8)</f>
        <v>2</v>
      </c>
      <c r="AJ7" s="146"/>
      <c r="AK7" s="146"/>
      <c r="AL7" s="146"/>
      <c r="AM7" s="146"/>
      <c r="AN7" s="146"/>
      <c r="AO7" s="146"/>
      <c r="AP7" s="150"/>
    </row>
    <row r="8" spans="1:50 16384:16384" ht="16" thickBot="1">
      <c r="A8" s="120"/>
      <c r="C8" s="151">
        <f>C$1*C9</f>
        <v>0</v>
      </c>
      <c r="D8" s="147">
        <f t="shared" ref="D8:AP8" si="9">D$1*D9</f>
        <v>0</v>
      </c>
      <c r="E8" s="147">
        <f t="shared" si="9"/>
        <v>0</v>
      </c>
      <c r="F8" s="147">
        <f t="shared" si="9"/>
        <v>0</v>
      </c>
      <c r="G8" s="147">
        <f t="shared" si="9"/>
        <v>0</v>
      </c>
      <c r="H8" s="147">
        <f t="shared" si="9"/>
        <v>0</v>
      </c>
      <c r="I8" s="147">
        <f t="shared" si="9"/>
        <v>0</v>
      </c>
      <c r="J8" s="152">
        <f t="shared" si="9"/>
        <v>0</v>
      </c>
      <c r="K8" s="151">
        <f t="shared" si="9"/>
        <v>0</v>
      </c>
      <c r="L8" s="147">
        <f t="shared" si="9"/>
        <v>0</v>
      </c>
      <c r="M8" s="147">
        <f t="shared" si="9"/>
        <v>0</v>
      </c>
      <c r="N8" s="147">
        <f t="shared" si="9"/>
        <v>16</v>
      </c>
      <c r="O8" s="147">
        <f t="shared" si="9"/>
        <v>0</v>
      </c>
      <c r="P8" s="147">
        <f t="shared" si="9"/>
        <v>0</v>
      </c>
      <c r="Q8" s="147">
        <f t="shared" si="9"/>
        <v>0</v>
      </c>
      <c r="R8" s="152">
        <f t="shared" si="9"/>
        <v>0</v>
      </c>
      <c r="S8" s="151">
        <f t="shared" si="9"/>
        <v>0</v>
      </c>
      <c r="T8" s="147">
        <f t="shared" si="9"/>
        <v>0</v>
      </c>
      <c r="U8" s="147">
        <f t="shared" si="9"/>
        <v>0</v>
      </c>
      <c r="V8" s="147">
        <f t="shared" si="9"/>
        <v>0</v>
      </c>
      <c r="W8" s="147">
        <f t="shared" si="9"/>
        <v>0</v>
      </c>
      <c r="X8" s="147">
        <f t="shared" si="9"/>
        <v>0</v>
      </c>
      <c r="Y8" s="147">
        <f t="shared" si="9"/>
        <v>0</v>
      </c>
      <c r="Z8" s="152">
        <f t="shared" si="9"/>
        <v>0</v>
      </c>
      <c r="AA8" s="151">
        <f t="shared" si="9"/>
        <v>0</v>
      </c>
      <c r="AB8" s="147">
        <f t="shared" si="9"/>
        <v>0</v>
      </c>
      <c r="AC8" s="147">
        <f t="shared" si="9"/>
        <v>0</v>
      </c>
      <c r="AD8" s="147">
        <f t="shared" si="9"/>
        <v>0</v>
      </c>
      <c r="AE8" s="147">
        <f t="shared" si="9"/>
        <v>0</v>
      </c>
      <c r="AF8" s="147">
        <f t="shared" si="9"/>
        <v>0</v>
      </c>
      <c r="AG8" s="147">
        <f t="shared" si="9"/>
        <v>0</v>
      </c>
      <c r="AH8" s="152">
        <f t="shared" si="9"/>
        <v>0</v>
      </c>
      <c r="AI8" s="151">
        <f t="shared" si="9"/>
        <v>0</v>
      </c>
      <c r="AJ8" s="147">
        <f t="shared" si="9"/>
        <v>0</v>
      </c>
      <c r="AK8" s="147">
        <f t="shared" si="9"/>
        <v>0</v>
      </c>
      <c r="AL8" s="147">
        <f t="shared" si="9"/>
        <v>0</v>
      </c>
      <c r="AM8" s="147">
        <f t="shared" si="9"/>
        <v>0</v>
      </c>
      <c r="AN8" s="147">
        <f t="shared" si="9"/>
        <v>0</v>
      </c>
      <c r="AO8" s="147">
        <f t="shared" si="9"/>
        <v>2</v>
      </c>
      <c r="AP8" s="152">
        <f t="shared" si="9"/>
        <v>0</v>
      </c>
      <c r="XFD8" s="43"/>
    </row>
    <row r="9" spans="1:50 16384:16384" ht="16" thickBot="1">
      <c r="A9" s="120"/>
      <c r="C9" s="60">
        <v>0</v>
      </c>
      <c r="D9" s="50">
        <v>0</v>
      </c>
      <c r="E9" s="50">
        <v>0</v>
      </c>
      <c r="F9" s="50">
        <v>0</v>
      </c>
      <c r="G9" s="50">
        <v>0</v>
      </c>
      <c r="H9" s="50">
        <v>0</v>
      </c>
      <c r="I9" s="47">
        <v>0</v>
      </c>
      <c r="J9" s="48">
        <v>0</v>
      </c>
      <c r="K9" s="49">
        <v>0</v>
      </c>
      <c r="L9" s="47">
        <v>0</v>
      </c>
      <c r="M9" s="47">
        <v>0</v>
      </c>
      <c r="N9" s="47">
        <v>1</v>
      </c>
      <c r="O9" s="47">
        <v>0</v>
      </c>
      <c r="P9" s="47">
        <v>0</v>
      </c>
      <c r="Q9" s="47">
        <v>0</v>
      </c>
      <c r="R9" s="48">
        <v>0</v>
      </c>
      <c r="S9" s="49">
        <v>0</v>
      </c>
      <c r="T9" s="47">
        <v>0</v>
      </c>
      <c r="U9" s="47">
        <v>0</v>
      </c>
      <c r="V9" s="47">
        <v>0</v>
      </c>
      <c r="W9" s="47">
        <v>0</v>
      </c>
      <c r="X9" s="47">
        <v>0</v>
      </c>
      <c r="Y9" s="47">
        <v>0</v>
      </c>
      <c r="Z9" s="48">
        <v>0</v>
      </c>
      <c r="AA9" s="49">
        <v>0</v>
      </c>
      <c r="AB9" s="50">
        <v>0</v>
      </c>
      <c r="AC9" s="50">
        <v>0</v>
      </c>
      <c r="AD9" s="47">
        <v>0</v>
      </c>
      <c r="AE9" s="47">
        <v>0</v>
      </c>
      <c r="AF9" s="47">
        <v>0</v>
      </c>
      <c r="AG9" s="47">
        <v>0</v>
      </c>
      <c r="AH9" s="51">
        <v>0</v>
      </c>
      <c r="AI9" s="60">
        <v>0</v>
      </c>
      <c r="AJ9" s="47">
        <v>0</v>
      </c>
      <c r="AK9" s="47">
        <v>0</v>
      </c>
      <c r="AL9" s="47">
        <v>0</v>
      </c>
      <c r="AM9" s="47">
        <v>0</v>
      </c>
      <c r="AN9" s="47">
        <v>0</v>
      </c>
      <c r="AO9" s="47">
        <v>1</v>
      </c>
      <c r="AP9" s="48">
        <v>0</v>
      </c>
    </row>
    <row r="10" spans="1:50 16384:16384" ht="153" thickBot="1">
      <c r="B10" s="34"/>
      <c r="C10" s="61" t="s">
        <v>388</v>
      </c>
      <c r="D10" s="55"/>
      <c r="E10" s="55"/>
      <c r="F10" s="55"/>
      <c r="G10" s="55"/>
      <c r="H10" s="55"/>
      <c r="I10" s="53" t="s">
        <v>349</v>
      </c>
      <c r="J10" s="54" t="s">
        <v>360</v>
      </c>
      <c r="K10" s="52"/>
      <c r="L10" s="53" t="s">
        <v>367</v>
      </c>
      <c r="M10" s="53" t="s">
        <v>366</v>
      </c>
      <c r="N10" s="53" t="s">
        <v>365</v>
      </c>
      <c r="O10" s="53" t="s">
        <v>361</v>
      </c>
      <c r="P10" s="53" t="s">
        <v>362</v>
      </c>
      <c r="Q10" s="53" t="s">
        <v>364</v>
      </c>
      <c r="R10" s="54" t="s">
        <v>363</v>
      </c>
      <c r="S10" s="52"/>
      <c r="T10" s="53" t="s">
        <v>372</v>
      </c>
      <c r="U10" s="53" t="s">
        <v>352</v>
      </c>
      <c r="V10" s="53" t="s">
        <v>371</v>
      </c>
      <c r="W10" s="53" t="s">
        <v>345</v>
      </c>
      <c r="X10" s="53" t="s">
        <v>370</v>
      </c>
      <c r="Y10" s="53" t="s">
        <v>369</v>
      </c>
      <c r="Z10" s="54" t="s">
        <v>368</v>
      </c>
      <c r="AA10" s="52"/>
      <c r="AB10" s="55"/>
      <c r="AC10" s="55"/>
      <c r="AD10" s="53" t="s">
        <v>373</v>
      </c>
      <c r="AE10" s="53" t="s">
        <v>359</v>
      </c>
      <c r="AF10" s="53" t="s">
        <v>358</v>
      </c>
      <c r="AG10" s="53" t="s">
        <v>357</v>
      </c>
      <c r="AH10" s="56"/>
      <c r="AI10" s="61" t="s">
        <v>338</v>
      </c>
      <c r="AJ10" s="53" t="s">
        <v>342</v>
      </c>
      <c r="AK10" s="53" t="s">
        <v>352</v>
      </c>
      <c r="AL10" s="53" t="s">
        <v>341</v>
      </c>
      <c r="AM10" s="53" t="s">
        <v>345</v>
      </c>
      <c r="AN10" s="53" t="s">
        <v>344</v>
      </c>
      <c r="AO10" s="53" t="s">
        <v>343</v>
      </c>
      <c r="AP10" s="54" t="s">
        <v>351</v>
      </c>
    </row>
    <row r="11" spans="1:50 16384:16384">
      <c r="B11" s="34"/>
      <c r="T11" s="142" t="s">
        <v>356</v>
      </c>
      <c r="U11" s="142"/>
      <c r="V11" s="142"/>
      <c r="W11" s="142"/>
      <c r="X11" s="142"/>
      <c r="Y11" s="142"/>
      <c r="Z11" s="142"/>
      <c r="AD11" s="141" t="s">
        <v>356</v>
      </c>
      <c r="AE11" s="141"/>
      <c r="AF11" s="141"/>
      <c r="AG11" s="141"/>
      <c r="AJ11" s="141" t="s">
        <v>350</v>
      </c>
      <c r="AK11" s="141"/>
      <c r="AL11" s="141"/>
      <c r="AM11" s="141"/>
      <c r="AN11" s="141"/>
      <c r="AO11" s="141"/>
      <c r="AP11" s="141"/>
    </row>
  </sheetData>
  <mergeCells count="19">
    <mergeCell ref="A6:A9"/>
    <mergeCell ref="C5:J5"/>
    <mergeCell ref="K5:R5"/>
    <mergeCell ref="S5:Z5"/>
    <mergeCell ref="AA5:AH5"/>
    <mergeCell ref="AI5:AP5"/>
    <mergeCell ref="C7:J7"/>
    <mergeCell ref="K7:R7"/>
    <mergeCell ref="S7:Z7"/>
    <mergeCell ref="AA7:AH7"/>
    <mergeCell ref="AI7:AP7"/>
    <mergeCell ref="C6:J6"/>
    <mergeCell ref="K6:R6"/>
    <mergeCell ref="S6:Z6"/>
    <mergeCell ref="AA6:AH6"/>
    <mergeCell ref="AI6:AP6"/>
    <mergeCell ref="AJ11:AP11"/>
    <mergeCell ref="AD11:AG11"/>
    <mergeCell ref="T11:Z11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258"/>
  <sheetViews>
    <sheetView tabSelected="1" workbookViewId="0">
      <pane xSplit="3" ySplit="2" topLeftCell="D3" activePane="bottomRight" state="frozenSplit"/>
      <selection pane="topRight" activeCell="C1" sqref="C1"/>
      <selection pane="bottomLeft" activeCell="A3" sqref="A3"/>
      <selection pane="bottomRight" activeCell="G8" sqref="G8"/>
    </sheetView>
  </sheetViews>
  <sheetFormatPr baseColWidth="10" defaultRowHeight="15" x14ac:dyDescent="0"/>
  <cols>
    <col min="1" max="1" width="11.33203125" style="35" bestFit="1" customWidth="1"/>
    <col min="2" max="3" width="7.1640625" style="35" customWidth="1"/>
    <col min="4" max="4" width="11.33203125" style="63" bestFit="1" customWidth="1"/>
    <col min="5" max="5" width="13.33203125" style="39" customWidth="1"/>
    <col min="6" max="6" width="4" customWidth="1"/>
    <col min="7" max="7" width="16.5" style="63" bestFit="1" customWidth="1"/>
    <col min="8" max="8" width="13.33203125" style="39" bestFit="1" customWidth="1"/>
    <col min="9" max="9" width="3.6640625" style="35" customWidth="1"/>
    <col min="10" max="10" width="9.33203125" style="63" customWidth="1"/>
    <col min="11" max="11" width="9" style="63" customWidth="1"/>
    <col min="12" max="12" width="3.83203125" style="41" customWidth="1"/>
    <col min="13" max="13" width="14.33203125" style="63" bestFit="1" customWidth="1"/>
    <col min="14" max="14" width="3.5" style="35" customWidth="1"/>
    <col min="15" max="15" width="9" style="63" bestFit="1" customWidth="1"/>
    <col min="16" max="16" width="3.1640625" style="35" customWidth="1"/>
    <col min="17" max="17" width="7.6640625" style="63" bestFit="1" customWidth="1"/>
    <col min="18" max="18" width="13.33203125" style="39" bestFit="1" customWidth="1"/>
    <col min="19" max="19" width="4.5" style="41" customWidth="1"/>
    <col min="20" max="20" width="11.6640625" style="63" bestFit="1" customWidth="1"/>
    <col min="21" max="22" width="23" style="39" bestFit="1" customWidth="1"/>
    <col min="23" max="23" width="4.5" style="41" customWidth="1"/>
    <col min="24" max="24" width="8.83203125" style="63" bestFit="1" customWidth="1"/>
    <col min="25" max="25" width="13" style="41" bestFit="1" customWidth="1"/>
    <col min="26" max="26" width="14.1640625" style="35" bestFit="1" customWidth="1"/>
    <col min="27" max="27" width="4.5" style="41" customWidth="1"/>
    <col min="28" max="28" width="9.5" style="63" bestFit="1" customWidth="1"/>
    <col min="29" max="29" width="4.33203125" style="35" customWidth="1"/>
    <col min="30" max="30" width="23.83203125" style="157" bestFit="1" customWidth="1"/>
    <col min="31" max="31" width="19.6640625" style="157" bestFit="1" customWidth="1"/>
    <col min="32" max="32" width="4.33203125" style="36" customWidth="1"/>
    <col min="33" max="33" width="10" style="63" bestFit="1" customWidth="1"/>
    <col min="34" max="34" width="14.83203125" style="63" bestFit="1" customWidth="1"/>
    <col min="35" max="35" width="4.33203125" style="35" customWidth="1"/>
    <col min="36" max="36" width="10" style="63" bestFit="1" customWidth="1"/>
    <col min="37" max="37" width="12.83203125" style="63" bestFit="1" customWidth="1"/>
    <col min="38" max="38" width="4.33203125" style="35" customWidth="1"/>
    <col min="39" max="39" width="10" style="63" bestFit="1" customWidth="1"/>
    <col min="40" max="40" width="13.83203125" style="63" bestFit="1" customWidth="1"/>
    <col min="41" max="41" width="4.33203125" style="35" customWidth="1"/>
    <col min="42" max="42" width="10" style="63" bestFit="1" customWidth="1"/>
    <col min="43" max="43" width="13.1640625" style="63" bestFit="1" customWidth="1"/>
    <col min="44" max="44" width="4.33203125" style="35" customWidth="1"/>
    <col min="45" max="45" width="10" style="63" bestFit="1" customWidth="1"/>
    <col min="46" max="46" width="29.5" style="63" bestFit="1" customWidth="1"/>
    <col min="47" max="47" width="4.33203125" style="35" customWidth="1"/>
    <col min="48" max="16384" width="10.83203125" style="35"/>
  </cols>
  <sheetData>
    <row r="1" spans="1:46" s="44" customFormat="1">
      <c r="B1" s="148" t="s">
        <v>1480</v>
      </c>
      <c r="C1" s="148"/>
      <c r="D1" s="71" t="s">
        <v>1479</v>
      </c>
      <c r="E1" s="46" t="s">
        <v>403</v>
      </c>
      <c r="G1" s="71" t="s">
        <v>351</v>
      </c>
      <c r="H1" s="46" t="s">
        <v>403</v>
      </c>
      <c r="J1" s="154" t="s">
        <v>353</v>
      </c>
      <c r="K1" s="154" t="s">
        <v>354</v>
      </c>
      <c r="L1" s="59"/>
      <c r="M1" s="71" t="s">
        <v>1481</v>
      </c>
      <c r="O1" s="71" t="s">
        <v>343</v>
      </c>
      <c r="Q1" s="71" t="s">
        <v>382</v>
      </c>
      <c r="R1" s="46" t="s">
        <v>403</v>
      </c>
      <c r="S1" s="59"/>
      <c r="T1" s="71" t="s">
        <v>337</v>
      </c>
      <c r="U1" s="46" t="s">
        <v>401</v>
      </c>
      <c r="V1" s="46" t="s">
        <v>401</v>
      </c>
      <c r="W1" s="59"/>
      <c r="X1" s="71" t="s">
        <v>338</v>
      </c>
      <c r="Y1" s="46" t="s">
        <v>514</v>
      </c>
      <c r="Z1" s="46" t="s">
        <v>514</v>
      </c>
      <c r="AA1" s="59"/>
      <c r="AB1" s="71" t="s">
        <v>1485</v>
      </c>
      <c r="AD1" s="154" t="s">
        <v>1486</v>
      </c>
      <c r="AE1" s="154" t="s">
        <v>1487</v>
      </c>
      <c r="AF1" s="156"/>
      <c r="AG1" s="140" t="s">
        <v>383</v>
      </c>
      <c r="AH1" s="140"/>
      <c r="AJ1" s="140" t="s">
        <v>389</v>
      </c>
      <c r="AK1" s="140"/>
      <c r="AM1" s="140" t="s">
        <v>394</v>
      </c>
      <c r="AN1" s="140"/>
      <c r="AP1" s="140" t="s">
        <v>397</v>
      </c>
      <c r="AQ1" s="140"/>
      <c r="AS1" s="140" t="s">
        <v>398</v>
      </c>
      <c r="AT1" s="140"/>
    </row>
    <row r="2" spans="1:46" s="44" customFormat="1">
      <c r="B2" s="44" t="s">
        <v>355</v>
      </c>
      <c r="C2" s="44" t="s">
        <v>336</v>
      </c>
      <c r="D2" s="71" t="s">
        <v>421</v>
      </c>
      <c r="E2" s="46" t="s">
        <v>336</v>
      </c>
      <c r="G2" s="71" t="s">
        <v>483</v>
      </c>
      <c r="H2" s="46" t="s">
        <v>336</v>
      </c>
      <c r="J2" s="154" t="s">
        <v>38</v>
      </c>
      <c r="K2" s="154" t="s">
        <v>38</v>
      </c>
      <c r="L2" s="59"/>
      <c r="M2" s="71" t="s">
        <v>1482</v>
      </c>
      <c r="O2" s="71" t="s">
        <v>1482</v>
      </c>
      <c r="Q2" s="71" t="s">
        <v>1483</v>
      </c>
      <c r="R2" s="46" t="s">
        <v>336</v>
      </c>
      <c r="S2" s="59"/>
      <c r="T2" s="71" t="s">
        <v>1484</v>
      </c>
      <c r="U2" s="46" t="s">
        <v>402</v>
      </c>
      <c r="V2" s="46" t="s">
        <v>404</v>
      </c>
      <c r="W2" s="59"/>
      <c r="X2" s="71" t="s">
        <v>1484</v>
      </c>
      <c r="Y2" s="46" t="s">
        <v>402</v>
      </c>
      <c r="Z2" s="46" t="s">
        <v>404</v>
      </c>
      <c r="AA2" s="59"/>
      <c r="AB2" s="71" t="s">
        <v>421</v>
      </c>
      <c r="AD2" s="154" t="s">
        <v>400</v>
      </c>
      <c r="AE2" s="154" t="s">
        <v>400</v>
      </c>
      <c r="AF2" s="156"/>
      <c r="AG2" s="71" t="s">
        <v>384</v>
      </c>
      <c r="AH2" s="71" t="s">
        <v>385</v>
      </c>
      <c r="AJ2" s="71" t="s">
        <v>384</v>
      </c>
      <c r="AK2" s="71" t="s">
        <v>390</v>
      </c>
      <c r="AM2" s="71" t="s">
        <v>384</v>
      </c>
      <c r="AN2" s="71" t="s">
        <v>390</v>
      </c>
      <c r="AP2" s="71" t="s">
        <v>384</v>
      </c>
      <c r="AQ2" s="71" t="s">
        <v>390</v>
      </c>
      <c r="AS2" s="71" t="s">
        <v>384</v>
      </c>
      <c r="AT2" s="71" t="s">
        <v>385</v>
      </c>
    </row>
    <row r="3" spans="1:46">
      <c r="A3" s="35" t="str">
        <f>","&amp;K3</f>
        <v>,0</v>
      </c>
      <c r="B3" s="35">
        <v>0</v>
      </c>
      <c r="C3" s="35" t="str">
        <f>DEC2HEX(B3)</f>
        <v>0</v>
      </c>
      <c r="D3" s="73">
        <f>ROUND(B3*((100-9.48)/255) +9.48,1)</f>
        <v>9.5</v>
      </c>
      <c r="E3" s="39" t="str">
        <f>"0x" &amp;DEC2HEX(ROUND(D3,0))</f>
        <v>0xA</v>
      </c>
      <c r="G3" s="76">
        <f>B3*(1063)/255</f>
        <v>0</v>
      </c>
      <c r="H3" s="153" t="str">
        <f>"," &amp;ROUND(G3/10,0)</f>
        <v>,0</v>
      </c>
      <c r="J3" s="72">
        <v>0</v>
      </c>
      <c r="K3" s="72">
        <v>0</v>
      </c>
      <c r="L3" s="74"/>
      <c r="M3" s="73">
        <f>ROUND($B3*(2.5/255),2)</f>
        <v>0</v>
      </c>
      <c r="O3" s="72">
        <f>ROUND($B3*(20/255),2)</f>
        <v>0</v>
      </c>
      <c r="Q3" s="73">
        <f>ROUND($B3*(60/255)-60,1)</f>
        <v>-60</v>
      </c>
      <c r="R3" s="39" t="str">
        <f>DEC2HEX(ROUND((Q3+64)*2,0))</f>
        <v>8</v>
      </c>
      <c r="T3" s="77">
        <f>ROUND($B3*(160/255)-30,1)</f>
        <v>-30</v>
      </c>
      <c r="U3" s="155">
        <f>T3+40</f>
        <v>10</v>
      </c>
      <c r="V3" s="39" t="str">
        <f>",0x" &amp;DEC2HEX(U3)</f>
        <v>,0xA</v>
      </c>
      <c r="X3" s="77">
        <f>ROUND($B3*(160/255)-30,1)</f>
        <v>-30</v>
      </c>
      <c r="Y3" s="155">
        <f>X3+40</f>
        <v>10</v>
      </c>
      <c r="Z3" s="39" t="str">
        <f>",0x" &amp;DEC2HEX(Y3)</f>
        <v>,0xA</v>
      </c>
      <c r="AB3" s="63">
        <f>ROUND($B3*200/255-100,0)</f>
        <v>-100</v>
      </c>
      <c r="AD3" s="157">
        <f>ROUND($B3*(131.072/65535),3)</f>
        <v>0</v>
      </c>
      <c r="AE3" s="157">
        <f>ROUND($B3*(131.072/65535)*256,3)</f>
        <v>0</v>
      </c>
      <c r="AG3" s="63" t="str">
        <f>$C3</f>
        <v>0</v>
      </c>
      <c r="AH3" s="63" t="s">
        <v>360</v>
      </c>
      <c r="AJ3" s="63" t="str">
        <f>$C3</f>
        <v>0</v>
      </c>
      <c r="AM3" s="63" t="str">
        <f>$C3</f>
        <v>0</v>
      </c>
      <c r="AP3" s="63" t="str">
        <f>$C3</f>
        <v>0</v>
      </c>
      <c r="AS3" s="63" t="str">
        <f>$C3</f>
        <v>0</v>
      </c>
    </row>
    <row r="4" spans="1:46">
      <c r="A4" s="35" t="str">
        <f t="shared" ref="A4:A67" si="0">","&amp;K4</f>
        <v>,1</v>
      </c>
      <c r="B4" s="35">
        <v>1</v>
      </c>
      <c r="C4" s="35" t="str">
        <f t="shared" ref="C4:C67" si="1">DEC2HEX(B4)</f>
        <v>1</v>
      </c>
      <c r="D4" s="73">
        <f>ROUND(B4*((100-9.48)/255) +9.48,1)</f>
        <v>9.8000000000000007</v>
      </c>
      <c r="E4" s="39" t="str">
        <f>",0x" &amp;DEC2HEX(ROUND(D4,0))</f>
        <v>,0xA</v>
      </c>
      <c r="G4" s="76">
        <f>B4*(1063)/255</f>
        <v>4.1686274509803924</v>
      </c>
      <c r="H4" s="153" t="str">
        <f>"," &amp;ROUND(G4/10,0)</f>
        <v>,0</v>
      </c>
      <c r="J4" s="63">
        <v>250</v>
      </c>
      <c r="K4" s="63">
        <v>1</v>
      </c>
      <c r="L4" s="74"/>
      <c r="M4" s="73">
        <f t="shared" ref="M4:M67" si="2">ROUND($B4*(2.5/255),2)</f>
        <v>0.01</v>
      </c>
      <c r="O4" s="72">
        <f t="shared" ref="O4:O67" si="3">ROUND($B4*(20/255),2)</f>
        <v>0.08</v>
      </c>
      <c r="Q4" s="73">
        <f t="shared" ref="Q4:Q67" si="4">ROUND($B4*(60/255)-60,1)</f>
        <v>-59.8</v>
      </c>
      <c r="R4" s="39" t="str">
        <f t="shared" ref="R4:R67" si="5">DEC2HEX(ROUND((Q4+64)*2,0))</f>
        <v>8</v>
      </c>
      <c r="T4" s="77">
        <f t="shared" ref="T4:U67" si="6">ROUND($B4*(160/255)-30,1)</f>
        <v>-29.4</v>
      </c>
      <c r="U4" s="155">
        <f t="shared" ref="U4:U67" si="7">T4+40</f>
        <v>10.600000000000001</v>
      </c>
      <c r="V4" s="39" t="str">
        <f t="shared" ref="V4:V67" si="8">",0x" &amp;DEC2HEX(U4)</f>
        <v>,0xA</v>
      </c>
      <c r="X4" s="77">
        <f t="shared" ref="X4:X67" si="9">ROUND($B4*(160/255)-30,1)</f>
        <v>-29.4</v>
      </c>
      <c r="Y4" s="155">
        <f t="shared" ref="Y4:Y67" si="10">X4+40</f>
        <v>10.600000000000001</v>
      </c>
      <c r="Z4" s="39" t="str">
        <f t="shared" ref="Z4:Z67" si="11">",0x" &amp;DEC2HEX(Y4)</f>
        <v>,0xA</v>
      </c>
      <c r="AB4" s="73">
        <f t="shared" ref="AB4:AB67" si="12">ROUND($B4*200/255-100,0)</f>
        <v>-99</v>
      </c>
      <c r="AD4" s="157">
        <f t="shared" ref="AD4:AD67" si="13">ROUND($B4*(131.072/65535),3)</f>
        <v>2E-3</v>
      </c>
      <c r="AE4" s="157">
        <f t="shared" ref="AE4:AE67" si="14">ROUND($B4*(131.072/65535)*256,3)</f>
        <v>0.51200000000000001</v>
      </c>
      <c r="AG4" s="63" t="str">
        <f t="shared" ref="AG4:AG67" si="15">$C4</f>
        <v>1</v>
      </c>
      <c r="AH4" s="63" t="s">
        <v>348</v>
      </c>
      <c r="AJ4" s="63" t="str">
        <f t="shared" ref="AJ4:AJ67" si="16">$C4</f>
        <v>1</v>
      </c>
      <c r="AK4" s="63" t="s">
        <v>339</v>
      </c>
      <c r="AM4" s="63" t="str">
        <f t="shared" ref="AM4:AM67" si="17">$C4</f>
        <v>1</v>
      </c>
      <c r="AP4" s="63" t="str">
        <f t="shared" ref="AP4:AP67" si="18">$C4</f>
        <v>1</v>
      </c>
      <c r="AQ4" s="63" t="s">
        <v>339</v>
      </c>
      <c r="AS4" s="63" t="str">
        <f t="shared" ref="AS4:AS67" si="19">$C4</f>
        <v>1</v>
      </c>
      <c r="AT4" s="63" t="s">
        <v>363</v>
      </c>
    </row>
    <row r="5" spans="1:46">
      <c r="A5" s="35" t="str">
        <f t="shared" si="0"/>
        <v>,2</v>
      </c>
      <c r="B5" s="35">
        <v>2</v>
      </c>
      <c r="C5" s="35" t="str">
        <f t="shared" si="1"/>
        <v>2</v>
      </c>
      <c r="D5" s="73">
        <f>ROUND(B5*((100-9.48)/255) +9.48,1)</f>
        <v>10.199999999999999</v>
      </c>
      <c r="E5" s="39" t="str">
        <f>",0x" &amp;DEC2HEX(ROUND(D5,0))</f>
        <v>,0xA</v>
      </c>
      <c r="G5" s="76">
        <f>B5*(1063)/255</f>
        <v>8.3372549019607849</v>
      </c>
      <c r="H5" s="153" t="str">
        <f>"," &amp;ROUND(G5/10,0)</f>
        <v>,1</v>
      </c>
      <c r="J5" s="63">
        <v>500</v>
      </c>
      <c r="K5" s="63">
        <v>2</v>
      </c>
      <c r="L5" s="74"/>
      <c r="M5" s="73">
        <f t="shared" si="2"/>
        <v>0.02</v>
      </c>
      <c r="O5" s="72">
        <f t="shared" si="3"/>
        <v>0.16</v>
      </c>
      <c r="Q5" s="73">
        <f t="shared" si="4"/>
        <v>-59.5</v>
      </c>
      <c r="R5" s="39" t="str">
        <f t="shared" si="5"/>
        <v>9</v>
      </c>
      <c r="T5" s="77">
        <f t="shared" si="6"/>
        <v>-28.7</v>
      </c>
      <c r="U5" s="155">
        <f t="shared" si="7"/>
        <v>11.3</v>
      </c>
      <c r="V5" s="39" t="str">
        <f t="shared" si="8"/>
        <v>,0xB</v>
      </c>
      <c r="X5" s="77">
        <f t="shared" si="9"/>
        <v>-28.7</v>
      </c>
      <c r="Y5" s="155">
        <f t="shared" si="10"/>
        <v>11.3</v>
      </c>
      <c r="Z5" s="39" t="str">
        <f t="shared" si="11"/>
        <v>,0xB</v>
      </c>
      <c r="AB5" s="73">
        <f t="shared" si="12"/>
        <v>-98</v>
      </c>
      <c r="AD5" s="157">
        <f t="shared" si="13"/>
        <v>4.0000000000000001E-3</v>
      </c>
      <c r="AE5" s="157">
        <f t="shared" si="14"/>
        <v>1.024</v>
      </c>
      <c r="AG5" s="63" t="str">
        <f t="shared" si="15"/>
        <v>2</v>
      </c>
      <c r="AH5" s="63" t="s">
        <v>386</v>
      </c>
      <c r="AJ5" s="63" t="str">
        <f t="shared" si="16"/>
        <v>2</v>
      </c>
      <c r="AK5" s="63" t="s">
        <v>347</v>
      </c>
      <c r="AM5" s="63" t="str">
        <f t="shared" si="17"/>
        <v>2</v>
      </c>
      <c r="AN5" s="63" t="s">
        <v>357</v>
      </c>
      <c r="AP5" s="63" t="str">
        <f t="shared" si="18"/>
        <v>2</v>
      </c>
      <c r="AQ5" s="63" t="s">
        <v>343</v>
      </c>
      <c r="AS5" s="63" t="str">
        <f t="shared" si="19"/>
        <v>2</v>
      </c>
      <c r="AT5" s="63" t="s">
        <v>364</v>
      </c>
    </row>
    <row r="6" spans="1:46">
      <c r="A6" s="35" t="str">
        <f t="shared" si="0"/>
        <v>,3</v>
      </c>
      <c r="B6" s="35">
        <v>3</v>
      </c>
      <c r="C6" s="35" t="str">
        <f t="shared" si="1"/>
        <v>3</v>
      </c>
      <c r="D6" s="73">
        <f>ROUND(B6*((100-9.48)/255) +9.48,1)</f>
        <v>10.5</v>
      </c>
      <c r="E6" s="39" t="str">
        <f>",0x" &amp;DEC2HEX(ROUND(D6,0))</f>
        <v>,0xB</v>
      </c>
      <c r="G6" s="76">
        <f>B6*(1063)/255</f>
        <v>12.505882352941176</v>
      </c>
      <c r="H6" s="153" t="str">
        <f>"," &amp;ROUND(G6/10,0)</f>
        <v>,1</v>
      </c>
      <c r="J6" s="63">
        <v>750</v>
      </c>
      <c r="K6" s="63">
        <v>3</v>
      </c>
      <c r="L6" s="74"/>
      <c r="M6" s="73">
        <f t="shared" si="2"/>
        <v>0.03</v>
      </c>
      <c r="O6" s="72">
        <f t="shared" si="3"/>
        <v>0.24</v>
      </c>
      <c r="Q6" s="73">
        <f t="shared" si="4"/>
        <v>-59.3</v>
      </c>
      <c r="R6" s="39" t="str">
        <f t="shared" si="5"/>
        <v>9</v>
      </c>
      <c r="T6" s="77">
        <f t="shared" si="6"/>
        <v>-28.1</v>
      </c>
      <c r="U6" s="155">
        <f t="shared" si="7"/>
        <v>11.899999999999999</v>
      </c>
      <c r="V6" s="39" t="str">
        <f t="shared" si="8"/>
        <v>,0xB</v>
      </c>
      <c r="X6" s="77">
        <f t="shared" si="9"/>
        <v>-28.1</v>
      </c>
      <c r="Y6" s="155">
        <f t="shared" si="10"/>
        <v>11.899999999999999</v>
      </c>
      <c r="Z6" s="39" t="str">
        <f t="shared" si="11"/>
        <v>,0xB</v>
      </c>
      <c r="AB6" s="73">
        <f t="shared" si="12"/>
        <v>-98</v>
      </c>
      <c r="AD6" s="157">
        <f t="shared" si="13"/>
        <v>6.0000000000000001E-3</v>
      </c>
      <c r="AE6" s="157">
        <f t="shared" si="14"/>
        <v>1.536</v>
      </c>
      <c r="AG6" s="63" t="str">
        <f t="shared" si="15"/>
        <v>3</v>
      </c>
      <c r="AJ6" s="63" t="str">
        <f t="shared" si="16"/>
        <v>3</v>
      </c>
      <c r="AM6" s="63" t="str">
        <f t="shared" si="17"/>
        <v>3</v>
      </c>
      <c r="AP6" s="63" t="str">
        <f t="shared" si="18"/>
        <v>3</v>
      </c>
      <c r="AS6" s="63" t="str">
        <f t="shared" si="19"/>
        <v>3</v>
      </c>
    </row>
    <row r="7" spans="1:46">
      <c r="A7" s="35" t="str">
        <f t="shared" si="0"/>
        <v>,4</v>
      </c>
      <c r="B7" s="35">
        <v>4</v>
      </c>
      <c r="C7" s="35" t="str">
        <f t="shared" si="1"/>
        <v>4</v>
      </c>
      <c r="D7" s="73">
        <f>ROUND(B7*((100-9.48)/255) +9.48,1)</f>
        <v>10.9</v>
      </c>
      <c r="E7" s="39" t="str">
        <f>",0x" &amp;DEC2HEX(ROUND(D7,0))</f>
        <v>,0xB</v>
      </c>
      <c r="G7" s="76">
        <f>B7*(1063)/255</f>
        <v>16.67450980392157</v>
      </c>
      <c r="H7" s="153" t="str">
        <f>"," &amp;ROUND(G7/10,0)</f>
        <v>,2</v>
      </c>
      <c r="J7" s="63">
        <v>1000</v>
      </c>
      <c r="K7" s="63">
        <v>4</v>
      </c>
      <c r="L7" s="74"/>
      <c r="M7" s="73">
        <f t="shared" si="2"/>
        <v>0.04</v>
      </c>
      <c r="O7" s="72">
        <f t="shared" si="3"/>
        <v>0.31</v>
      </c>
      <c r="Q7" s="73">
        <f t="shared" si="4"/>
        <v>-59.1</v>
      </c>
      <c r="R7" s="39" t="str">
        <f t="shared" si="5"/>
        <v>A</v>
      </c>
      <c r="T7" s="77">
        <f t="shared" si="6"/>
        <v>-27.5</v>
      </c>
      <c r="U7" s="155">
        <f t="shared" si="7"/>
        <v>12.5</v>
      </c>
      <c r="V7" s="39" t="str">
        <f t="shared" si="8"/>
        <v>,0xC</v>
      </c>
      <c r="X7" s="77">
        <f t="shared" si="9"/>
        <v>-27.5</v>
      </c>
      <c r="Y7" s="155">
        <f t="shared" si="10"/>
        <v>12.5</v>
      </c>
      <c r="Z7" s="39" t="str">
        <f t="shared" si="11"/>
        <v>,0xC</v>
      </c>
      <c r="AB7" s="73">
        <f t="shared" si="12"/>
        <v>-97</v>
      </c>
      <c r="AD7" s="157">
        <f t="shared" si="13"/>
        <v>8.0000000000000002E-3</v>
      </c>
      <c r="AE7" s="157">
        <f t="shared" si="14"/>
        <v>2.048</v>
      </c>
      <c r="AG7" s="63" t="str">
        <f t="shared" si="15"/>
        <v>4</v>
      </c>
      <c r="AJ7" s="63" t="str">
        <f t="shared" si="16"/>
        <v>4</v>
      </c>
      <c r="AK7" s="63" t="s">
        <v>391</v>
      </c>
      <c r="AM7" s="63" t="str">
        <f t="shared" si="17"/>
        <v>4</v>
      </c>
      <c r="AN7" s="63" t="s">
        <v>395</v>
      </c>
      <c r="AP7" s="63" t="str">
        <f t="shared" si="18"/>
        <v>4</v>
      </c>
      <c r="AQ7" s="63" t="s">
        <v>337</v>
      </c>
      <c r="AS7" s="63" t="str">
        <f t="shared" si="19"/>
        <v>4</v>
      </c>
      <c r="AT7" s="63" t="s">
        <v>362</v>
      </c>
    </row>
    <row r="8" spans="1:46">
      <c r="A8" s="35" t="str">
        <f t="shared" si="0"/>
        <v>,5</v>
      </c>
      <c r="B8" s="35">
        <v>5</v>
      </c>
      <c r="C8" s="35" t="str">
        <f t="shared" si="1"/>
        <v>5</v>
      </c>
      <c r="D8" s="73">
        <f>ROUND(B8*((100-9.48)/255) +9.48,1)</f>
        <v>11.3</v>
      </c>
      <c r="E8" s="39" t="str">
        <f>",0x" &amp;DEC2HEX(ROUND(D8,0))</f>
        <v>,0xB</v>
      </c>
      <c r="G8" s="76">
        <f>B8*(1063)/255</f>
        <v>20.843137254901961</v>
      </c>
      <c r="H8" s="153" t="str">
        <f>"," &amp;ROUND(G8/10,0)</f>
        <v>,2</v>
      </c>
      <c r="J8" s="63">
        <v>1250</v>
      </c>
      <c r="K8" s="63">
        <v>5</v>
      </c>
      <c r="L8" s="74"/>
      <c r="M8" s="73">
        <f t="shared" si="2"/>
        <v>0.05</v>
      </c>
      <c r="O8" s="72">
        <f t="shared" si="3"/>
        <v>0.39</v>
      </c>
      <c r="Q8" s="73">
        <f t="shared" si="4"/>
        <v>-58.8</v>
      </c>
      <c r="R8" s="39" t="str">
        <f t="shared" si="5"/>
        <v>A</v>
      </c>
      <c r="T8" s="77">
        <f t="shared" si="6"/>
        <v>-26.9</v>
      </c>
      <c r="U8" s="155">
        <f t="shared" si="7"/>
        <v>13.100000000000001</v>
      </c>
      <c r="V8" s="39" t="str">
        <f t="shared" si="8"/>
        <v>,0xD</v>
      </c>
      <c r="X8" s="77">
        <f t="shared" si="9"/>
        <v>-26.9</v>
      </c>
      <c r="Y8" s="155">
        <f t="shared" si="10"/>
        <v>13.100000000000001</v>
      </c>
      <c r="Z8" s="39" t="str">
        <f t="shared" si="11"/>
        <v>,0xD</v>
      </c>
      <c r="AB8" s="73">
        <f t="shared" si="12"/>
        <v>-96</v>
      </c>
      <c r="AD8" s="157">
        <f t="shared" si="13"/>
        <v>0.01</v>
      </c>
      <c r="AE8" s="157">
        <f t="shared" si="14"/>
        <v>2.56</v>
      </c>
      <c r="AG8" s="63" t="str">
        <f t="shared" si="15"/>
        <v>5</v>
      </c>
      <c r="AJ8" s="63" t="str">
        <f t="shared" si="16"/>
        <v>5</v>
      </c>
      <c r="AM8" s="63" t="str">
        <f t="shared" si="17"/>
        <v>5</v>
      </c>
      <c r="AP8" s="63" t="str">
        <f t="shared" si="18"/>
        <v>5</v>
      </c>
      <c r="AS8" s="63" t="str">
        <f t="shared" si="19"/>
        <v>5</v>
      </c>
    </row>
    <row r="9" spans="1:46">
      <c r="A9" s="35" t="str">
        <f t="shared" si="0"/>
        <v>,6</v>
      </c>
      <c r="B9" s="35">
        <v>6</v>
      </c>
      <c r="C9" s="35" t="str">
        <f t="shared" si="1"/>
        <v>6</v>
      </c>
      <c r="D9" s="73">
        <f>ROUND(B9*((100-9.48)/255) +9.48,1)</f>
        <v>11.6</v>
      </c>
      <c r="E9" s="39" t="str">
        <f>",0x" &amp;DEC2HEX(ROUND(D9,0))</f>
        <v>,0xC</v>
      </c>
      <c r="G9" s="76">
        <f>B9*(1063)/255</f>
        <v>25.011764705882353</v>
      </c>
      <c r="H9" s="153" t="str">
        <f>"," &amp;ROUND(G9/10,0)</f>
        <v>,3</v>
      </c>
      <c r="J9" s="63">
        <v>1500</v>
      </c>
      <c r="K9" s="63">
        <v>6</v>
      </c>
      <c r="L9" s="74"/>
      <c r="M9" s="73">
        <f t="shared" si="2"/>
        <v>0.06</v>
      </c>
      <c r="O9" s="72">
        <f t="shared" si="3"/>
        <v>0.47</v>
      </c>
      <c r="Q9" s="73">
        <f t="shared" si="4"/>
        <v>-58.6</v>
      </c>
      <c r="R9" s="39" t="str">
        <f t="shared" si="5"/>
        <v>B</v>
      </c>
      <c r="T9" s="77">
        <f t="shared" si="6"/>
        <v>-26.2</v>
      </c>
      <c r="U9" s="155">
        <f t="shared" si="7"/>
        <v>13.8</v>
      </c>
      <c r="V9" s="39" t="str">
        <f t="shared" si="8"/>
        <v>,0xD</v>
      </c>
      <c r="X9" s="77">
        <f t="shared" si="9"/>
        <v>-26.2</v>
      </c>
      <c r="Y9" s="155">
        <f t="shared" si="10"/>
        <v>13.8</v>
      </c>
      <c r="Z9" s="39" t="str">
        <f t="shared" si="11"/>
        <v>,0xD</v>
      </c>
      <c r="AB9" s="73">
        <f t="shared" si="12"/>
        <v>-95</v>
      </c>
      <c r="AD9" s="157">
        <f t="shared" si="13"/>
        <v>1.2E-2</v>
      </c>
      <c r="AE9" s="157">
        <f t="shared" si="14"/>
        <v>3.0720000000000001</v>
      </c>
      <c r="AG9" s="63" t="str">
        <f t="shared" si="15"/>
        <v>6</v>
      </c>
      <c r="AJ9" s="63" t="str">
        <f t="shared" si="16"/>
        <v>6</v>
      </c>
      <c r="AM9" s="63" t="str">
        <f t="shared" si="17"/>
        <v>6</v>
      </c>
      <c r="AP9" s="63" t="str">
        <f t="shared" si="18"/>
        <v>6</v>
      </c>
      <c r="AS9" s="63" t="str">
        <f t="shared" si="19"/>
        <v>6</v>
      </c>
    </row>
    <row r="10" spans="1:46">
      <c r="A10" s="35" t="str">
        <f t="shared" si="0"/>
        <v>,7</v>
      </c>
      <c r="B10" s="35">
        <v>7</v>
      </c>
      <c r="C10" s="35" t="str">
        <f t="shared" si="1"/>
        <v>7</v>
      </c>
      <c r="D10" s="73">
        <f>ROUND(B10*((100-9.48)/255) +9.48,1)</f>
        <v>12</v>
      </c>
      <c r="E10" s="39" t="str">
        <f>",0x" &amp;DEC2HEX(ROUND(D10,0))</f>
        <v>,0xC</v>
      </c>
      <c r="G10" s="76">
        <f>B10*(1063)/255</f>
        <v>29.180392156862744</v>
      </c>
      <c r="H10" s="153" t="str">
        <f>"," &amp;ROUND(G10/10,0)</f>
        <v>,3</v>
      </c>
      <c r="J10" s="63">
        <v>1750</v>
      </c>
      <c r="K10" s="63">
        <v>7</v>
      </c>
      <c r="L10" s="74"/>
      <c r="M10" s="73">
        <f t="shared" si="2"/>
        <v>7.0000000000000007E-2</v>
      </c>
      <c r="O10" s="72">
        <f t="shared" si="3"/>
        <v>0.55000000000000004</v>
      </c>
      <c r="Q10" s="73">
        <f t="shared" si="4"/>
        <v>-58.4</v>
      </c>
      <c r="R10" s="39" t="str">
        <f t="shared" si="5"/>
        <v>B</v>
      </c>
      <c r="T10" s="77">
        <f t="shared" si="6"/>
        <v>-25.6</v>
      </c>
      <c r="U10" s="155">
        <f t="shared" si="7"/>
        <v>14.399999999999999</v>
      </c>
      <c r="V10" s="39" t="str">
        <f t="shared" si="8"/>
        <v>,0xE</v>
      </c>
      <c r="X10" s="77">
        <f t="shared" si="9"/>
        <v>-25.6</v>
      </c>
      <c r="Y10" s="155">
        <f t="shared" si="10"/>
        <v>14.399999999999999</v>
      </c>
      <c r="Z10" s="39" t="str">
        <f t="shared" si="11"/>
        <v>,0xE</v>
      </c>
      <c r="AB10" s="73">
        <f t="shared" si="12"/>
        <v>-95</v>
      </c>
      <c r="AD10" s="157">
        <f t="shared" si="13"/>
        <v>1.4E-2</v>
      </c>
      <c r="AE10" s="157">
        <f t="shared" si="14"/>
        <v>3.5840000000000001</v>
      </c>
      <c r="AG10" s="63" t="str">
        <f t="shared" si="15"/>
        <v>7</v>
      </c>
      <c r="AJ10" s="63" t="str">
        <f t="shared" si="16"/>
        <v>7</v>
      </c>
      <c r="AM10" s="63" t="str">
        <f t="shared" si="17"/>
        <v>7</v>
      </c>
      <c r="AP10" s="63" t="str">
        <f t="shared" si="18"/>
        <v>7</v>
      </c>
      <c r="AS10" s="63" t="str">
        <f t="shared" si="19"/>
        <v>7</v>
      </c>
    </row>
    <row r="11" spans="1:46">
      <c r="A11" s="35" t="str">
        <f t="shared" si="0"/>
        <v>,8</v>
      </c>
      <c r="B11" s="35">
        <v>8</v>
      </c>
      <c r="C11" s="35" t="str">
        <f t="shared" si="1"/>
        <v>8</v>
      </c>
      <c r="D11" s="73">
        <f>ROUND(B11*((100-9.48)/255) +9.48,1)</f>
        <v>12.3</v>
      </c>
      <c r="E11" s="39" t="str">
        <f>",0x" &amp;DEC2HEX(ROUND(D11,0))</f>
        <v>,0xC</v>
      </c>
      <c r="G11" s="76">
        <f>B11*(1063)/255</f>
        <v>33.34901960784314</v>
      </c>
      <c r="H11" s="153" t="str">
        <f>"," &amp;ROUND(G11/10,0)</f>
        <v>,3</v>
      </c>
      <c r="J11" s="63">
        <v>2000</v>
      </c>
      <c r="K11" s="63">
        <v>8</v>
      </c>
      <c r="M11" s="73">
        <f t="shared" si="2"/>
        <v>0.08</v>
      </c>
      <c r="O11" s="72">
        <f t="shared" si="3"/>
        <v>0.63</v>
      </c>
      <c r="Q11" s="73">
        <f t="shared" si="4"/>
        <v>-58.1</v>
      </c>
      <c r="R11" s="39" t="str">
        <f t="shared" si="5"/>
        <v>C</v>
      </c>
      <c r="T11" s="77">
        <f t="shared" si="6"/>
        <v>-25</v>
      </c>
      <c r="U11" s="155">
        <f t="shared" si="7"/>
        <v>15</v>
      </c>
      <c r="V11" s="39" t="str">
        <f t="shared" si="8"/>
        <v>,0xF</v>
      </c>
      <c r="X11" s="77">
        <f t="shared" si="9"/>
        <v>-25</v>
      </c>
      <c r="Y11" s="155">
        <f t="shared" si="10"/>
        <v>15</v>
      </c>
      <c r="Z11" s="39" t="str">
        <f t="shared" si="11"/>
        <v>,0xF</v>
      </c>
      <c r="AB11" s="73">
        <f t="shared" si="12"/>
        <v>-94</v>
      </c>
      <c r="AD11" s="157">
        <f t="shared" si="13"/>
        <v>1.6E-2</v>
      </c>
      <c r="AE11" s="157">
        <f t="shared" si="14"/>
        <v>4.0960000000000001</v>
      </c>
      <c r="AG11" s="63" t="str">
        <f t="shared" si="15"/>
        <v>8</v>
      </c>
      <c r="AJ11" s="63" t="str">
        <f t="shared" si="16"/>
        <v>8</v>
      </c>
      <c r="AK11" s="63" t="s">
        <v>392</v>
      </c>
      <c r="AM11" s="63" t="str">
        <f t="shared" si="17"/>
        <v>8</v>
      </c>
      <c r="AN11" s="63" t="s">
        <v>396</v>
      </c>
      <c r="AP11" s="63" t="str">
        <f t="shared" si="18"/>
        <v>8</v>
      </c>
      <c r="AQ11" s="63" t="s">
        <v>392</v>
      </c>
      <c r="AS11" s="63" t="str">
        <f t="shared" si="19"/>
        <v>8</v>
      </c>
      <c r="AT11" s="63" t="s">
        <v>361</v>
      </c>
    </row>
    <row r="12" spans="1:46">
      <c r="A12" s="35" t="str">
        <f t="shared" si="0"/>
        <v>,9</v>
      </c>
      <c r="B12" s="35">
        <v>9</v>
      </c>
      <c r="C12" s="35" t="str">
        <f t="shared" si="1"/>
        <v>9</v>
      </c>
      <c r="D12" s="73">
        <f>ROUND(B12*((100-9.48)/255) +9.48,1)</f>
        <v>12.7</v>
      </c>
      <c r="E12" s="39" t="str">
        <f>",0x" &amp;DEC2HEX(ROUND(D12,0))</f>
        <v>,0xD</v>
      </c>
      <c r="G12" s="76">
        <f>B12*(1063)/255</f>
        <v>37.517647058823528</v>
      </c>
      <c r="H12" s="153" t="str">
        <f>"," &amp;ROUND(G12/10,0)</f>
        <v>,4</v>
      </c>
      <c r="J12" s="63">
        <v>2250</v>
      </c>
      <c r="K12" s="63">
        <v>9</v>
      </c>
      <c r="M12" s="73">
        <f t="shared" si="2"/>
        <v>0.09</v>
      </c>
      <c r="O12" s="72">
        <f t="shared" si="3"/>
        <v>0.71</v>
      </c>
      <c r="Q12" s="73">
        <f t="shared" si="4"/>
        <v>-57.9</v>
      </c>
      <c r="R12" s="39" t="str">
        <f t="shared" si="5"/>
        <v>C</v>
      </c>
      <c r="T12" s="77">
        <f t="shared" si="6"/>
        <v>-24.4</v>
      </c>
      <c r="U12" s="155">
        <f t="shared" si="7"/>
        <v>15.600000000000001</v>
      </c>
      <c r="V12" s="39" t="str">
        <f t="shared" si="8"/>
        <v>,0xF</v>
      </c>
      <c r="X12" s="77">
        <f t="shared" si="9"/>
        <v>-24.4</v>
      </c>
      <c r="Y12" s="155">
        <f t="shared" si="10"/>
        <v>15.600000000000001</v>
      </c>
      <c r="Z12" s="39" t="str">
        <f t="shared" si="11"/>
        <v>,0xF</v>
      </c>
      <c r="AB12" s="73">
        <f t="shared" si="12"/>
        <v>-93</v>
      </c>
      <c r="AD12" s="157">
        <f t="shared" si="13"/>
        <v>1.7999999999999999E-2</v>
      </c>
      <c r="AE12" s="157">
        <f t="shared" si="14"/>
        <v>4.6079999999999997</v>
      </c>
      <c r="AG12" s="63" t="str">
        <f t="shared" si="15"/>
        <v>9</v>
      </c>
      <c r="AJ12" s="63" t="str">
        <f t="shared" si="16"/>
        <v>9</v>
      </c>
      <c r="AM12" s="63" t="str">
        <f t="shared" si="17"/>
        <v>9</v>
      </c>
      <c r="AP12" s="63" t="str">
        <f t="shared" si="18"/>
        <v>9</v>
      </c>
      <c r="AS12" s="63" t="str">
        <f t="shared" si="19"/>
        <v>9</v>
      </c>
    </row>
    <row r="13" spans="1:46">
      <c r="A13" s="35" t="str">
        <f t="shared" si="0"/>
        <v>,10</v>
      </c>
      <c r="B13" s="35">
        <v>10</v>
      </c>
      <c r="C13" s="35" t="str">
        <f t="shared" si="1"/>
        <v>A</v>
      </c>
      <c r="D13" s="73">
        <f>ROUND(B13*((100-9.48)/255) +9.48,1)</f>
        <v>13</v>
      </c>
      <c r="E13" s="39" t="str">
        <f>",0x" &amp;DEC2HEX(ROUND(D13,0))</f>
        <v>,0xD</v>
      </c>
      <c r="G13" s="76">
        <f>B13*(1063)/255</f>
        <v>41.686274509803923</v>
      </c>
      <c r="H13" s="153" t="str">
        <f>"," &amp;ROUND(G13/10,0)</f>
        <v>,4</v>
      </c>
      <c r="J13" s="63">
        <v>2500</v>
      </c>
      <c r="K13" s="63">
        <v>10</v>
      </c>
      <c r="M13" s="73">
        <f t="shared" si="2"/>
        <v>0.1</v>
      </c>
      <c r="O13" s="72">
        <f t="shared" si="3"/>
        <v>0.78</v>
      </c>
      <c r="Q13" s="73">
        <f t="shared" si="4"/>
        <v>-57.6</v>
      </c>
      <c r="R13" s="39" t="str">
        <f t="shared" si="5"/>
        <v>D</v>
      </c>
      <c r="T13" s="77">
        <f t="shared" si="6"/>
        <v>-23.7</v>
      </c>
      <c r="U13" s="155">
        <f t="shared" si="7"/>
        <v>16.3</v>
      </c>
      <c r="V13" s="39" t="str">
        <f t="shared" si="8"/>
        <v>,0x10</v>
      </c>
      <c r="X13" s="77">
        <f t="shared" si="9"/>
        <v>-23.7</v>
      </c>
      <c r="Y13" s="155">
        <f t="shared" si="10"/>
        <v>16.3</v>
      </c>
      <c r="Z13" s="39" t="str">
        <f t="shared" si="11"/>
        <v>,0x10</v>
      </c>
      <c r="AB13" s="73">
        <f t="shared" si="12"/>
        <v>-92</v>
      </c>
      <c r="AD13" s="157">
        <f t="shared" si="13"/>
        <v>0.02</v>
      </c>
      <c r="AE13" s="157">
        <f t="shared" si="14"/>
        <v>5.12</v>
      </c>
      <c r="AG13" s="63" t="str">
        <f t="shared" si="15"/>
        <v>A</v>
      </c>
      <c r="AJ13" s="63" t="str">
        <f t="shared" si="16"/>
        <v>A</v>
      </c>
      <c r="AM13" s="63" t="str">
        <f t="shared" si="17"/>
        <v>A</v>
      </c>
      <c r="AP13" s="63" t="str">
        <f t="shared" si="18"/>
        <v>A</v>
      </c>
      <c r="AS13" s="63" t="str">
        <f t="shared" si="19"/>
        <v>A</v>
      </c>
    </row>
    <row r="14" spans="1:46">
      <c r="A14" s="35" t="str">
        <f t="shared" si="0"/>
        <v>,11</v>
      </c>
      <c r="B14" s="35">
        <v>11</v>
      </c>
      <c r="C14" s="35" t="str">
        <f t="shared" si="1"/>
        <v>B</v>
      </c>
      <c r="D14" s="73">
        <f>ROUND(B14*((100-9.48)/255) +9.48,1)</f>
        <v>13.4</v>
      </c>
      <c r="E14" s="39" t="str">
        <f>",0x" &amp;DEC2HEX(ROUND(D14,0))</f>
        <v>,0xD</v>
      </c>
      <c r="G14" s="76">
        <f>B14*(1063)/255</f>
        <v>45.854901960784311</v>
      </c>
      <c r="H14" s="153" t="str">
        <f>"," &amp;ROUND(G14/10,0)</f>
        <v>,5</v>
      </c>
      <c r="J14" s="63">
        <v>2750</v>
      </c>
      <c r="K14" s="63">
        <v>11</v>
      </c>
      <c r="M14" s="73">
        <f t="shared" si="2"/>
        <v>0.11</v>
      </c>
      <c r="O14" s="72">
        <f t="shared" si="3"/>
        <v>0.86</v>
      </c>
      <c r="Q14" s="73">
        <f t="shared" si="4"/>
        <v>-57.4</v>
      </c>
      <c r="R14" s="39" t="str">
        <f t="shared" si="5"/>
        <v>D</v>
      </c>
      <c r="T14" s="77">
        <f t="shared" si="6"/>
        <v>-23.1</v>
      </c>
      <c r="U14" s="155">
        <f t="shared" si="7"/>
        <v>16.899999999999999</v>
      </c>
      <c r="V14" s="39" t="str">
        <f t="shared" si="8"/>
        <v>,0x10</v>
      </c>
      <c r="X14" s="77">
        <f t="shared" si="9"/>
        <v>-23.1</v>
      </c>
      <c r="Y14" s="155">
        <f t="shared" si="10"/>
        <v>16.899999999999999</v>
      </c>
      <c r="Z14" s="39" t="str">
        <f t="shared" si="11"/>
        <v>,0x10</v>
      </c>
      <c r="AB14" s="73">
        <f t="shared" si="12"/>
        <v>-91</v>
      </c>
      <c r="AD14" s="157">
        <f t="shared" si="13"/>
        <v>2.1999999999999999E-2</v>
      </c>
      <c r="AE14" s="157">
        <f t="shared" si="14"/>
        <v>5.6319999999999997</v>
      </c>
      <c r="AG14" s="63" t="str">
        <f t="shared" si="15"/>
        <v>B</v>
      </c>
      <c r="AJ14" s="63" t="str">
        <f t="shared" si="16"/>
        <v>B</v>
      </c>
      <c r="AM14" s="63" t="str">
        <f t="shared" si="17"/>
        <v>B</v>
      </c>
      <c r="AP14" s="63" t="str">
        <f t="shared" si="18"/>
        <v>B</v>
      </c>
      <c r="AS14" s="63" t="str">
        <f t="shared" si="19"/>
        <v>B</v>
      </c>
    </row>
    <row r="15" spans="1:46">
      <c r="A15" s="35" t="str">
        <f t="shared" si="0"/>
        <v>,12</v>
      </c>
      <c r="B15" s="35">
        <v>12</v>
      </c>
      <c r="C15" s="35" t="str">
        <f t="shared" si="1"/>
        <v>C</v>
      </c>
      <c r="D15" s="73">
        <f>ROUND(B15*((100-9.48)/255) +9.48,1)</f>
        <v>13.7</v>
      </c>
      <c r="E15" s="39" t="str">
        <f>",0x" &amp;DEC2HEX(ROUND(D15,0))</f>
        <v>,0xE</v>
      </c>
      <c r="G15" s="76">
        <f>B15*(1063)/255</f>
        <v>50.023529411764706</v>
      </c>
      <c r="H15" s="153" t="str">
        <f>"," &amp;ROUND(G15/10,0)</f>
        <v>,5</v>
      </c>
      <c r="J15" s="63">
        <v>3000</v>
      </c>
      <c r="K15" s="63">
        <v>12</v>
      </c>
      <c r="M15" s="73">
        <f t="shared" si="2"/>
        <v>0.12</v>
      </c>
      <c r="O15" s="72">
        <f t="shared" si="3"/>
        <v>0.94</v>
      </c>
      <c r="Q15" s="73">
        <f t="shared" si="4"/>
        <v>-57.2</v>
      </c>
      <c r="R15" s="39" t="str">
        <f t="shared" si="5"/>
        <v>E</v>
      </c>
      <c r="T15" s="77">
        <f t="shared" si="6"/>
        <v>-22.5</v>
      </c>
      <c r="U15" s="155">
        <f t="shared" si="7"/>
        <v>17.5</v>
      </c>
      <c r="V15" s="39" t="str">
        <f t="shared" si="8"/>
        <v>,0x11</v>
      </c>
      <c r="X15" s="77">
        <f t="shared" si="9"/>
        <v>-22.5</v>
      </c>
      <c r="Y15" s="155">
        <f t="shared" si="10"/>
        <v>17.5</v>
      </c>
      <c r="Z15" s="39" t="str">
        <f t="shared" si="11"/>
        <v>,0x11</v>
      </c>
      <c r="AB15" s="73">
        <f t="shared" si="12"/>
        <v>-91</v>
      </c>
      <c r="AD15" s="157">
        <f t="shared" si="13"/>
        <v>2.4E-2</v>
      </c>
      <c r="AE15" s="157">
        <f t="shared" si="14"/>
        <v>6.1440000000000001</v>
      </c>
      <c r="AG15" s="63" t="str">
        <f t="shared" si="15"/>
        <v>C</v>
      </c>
      <c r="AJ15" s="63" t="str">
        <f t="shared" si="16"/>
        <v>C</v>
      </c>
      <c r="AM15" s="63" t="str">
        <f t="shared" si="17"/>
        <v>C</v>
      </c>
      <c r="AP15" s="63" t="str">
        <f t="shared" si="18"/>
        <v>C</v>
      </c>
      <c r="AS15" s="63" t="str">
        <f t="shared" si="19"/>
        <v>C</v>
      </c>
    </row>
    <row r="16" spans="1:46">
      <c r="A16" s="35" t="str">
        <f t="shared" si="0"/>
        <v>,13</v>
      </c>
      <c r="B16" s="35">
        <v>13</v>
      </c>
      <c r="C16" s="35" t="str">
        <f t="shared" si="1"/>
        <v>D</v>
      </c>
      <c r="D16" s="73">
        <f>ROUND(B16*((100-9.48)/255) +9.48,1)</f>
        <v>14.1</v>
      </c>
      <c r="E16" s="39" t="str">
        <f>",0x" &amp;DEC2HEX(ROUND(D16,0))</f>
        <v>,0xE</v>
      </c>
      <c r="G16" s="76">
        <f>B16*(1063)/255</f>
        <v>54.192156862745101</v>
      </c>
      <c r="H16" s="153" t="str">
        <f>"," &amp;ROUND(G16/10,0)</f>
        <v>,5</v>
      </c>
      <c r="J16" s="63">
        <v>3250</v>
      </c>
      <c r="K16" s="63">
        <v>13</v>
      </c>
      <c r="M16" s="73">
        <f t="shared" si="2"/>
        <v>0.13</v>
      </c>
      <c r="O16" s="72">
        <f t="shared" si="3"/>
        <v>1.02</v>
      </c>
      <c r="Q16" s="73">
        <f t="shared" si="4"/>
        <v>-56.9</v>
      </c>
      <c r="R16" s="39" t="str">
        <f t="shared" si="5"/>
        <v>E</v>
      </c>
      <c r="T16" s="77">
        <f t="shared" si="6"/>
        <v>-21.8</v>
      </c>
      <c r="U16" s="155">
        <f t="shared" si="7"/>
        <v>18.2</v>
      </c>
      <c r="V16" s="39" t="str">
        <f t="shared" si="8"/>
        <v>,0x12</v>
      </c>
      <c r="X16" s="77">
        <f t="shared" si="9"/>
        <v>-21.8</v>
      </c>
      <c r="Y16" s="155">
        <f t="shared" si="10"/>
        <v>18.2</v>
      </c>
      <c r="Z16" s="39" t="str">
        <f t="shared" si="11"/>
        <v>,0x12</v>
      </c>
      <c r="AB16" s="73">
        <f t="shared" si="12"/>
        <v>-90</v>
      </c>
      <c r="AD16" s="157">
        <f>ROUND($B16*(131.072/65535),3)</f>
        <v>2.5999999999999999E-2</v>
      </c>
      <c r="AE16" s="157">
        <f t="shared" si="14"/>
        <v>6.6559999999999997</v>
      </c>
      <c r="AG16" s="63" t="str">
        <f t="shared" si="15"/>
        <v>D</v>
      </c>
      <c r="AJ16" s="63" t="str">
        <f t="shared" si="16"/>
        <v>D</v>
      </c>
      <c r="AM16" s="63" t="str">
        <f t="shared" si="17"/>
        <v>D</v>
      </c>
      <c r="AP16" s="63" t="str">
        <f t="shared" si="18"/>
        <v>D</v>
      </c>
      <c r="AS16" s="63" t="str">
        <f t="shared" si="19"/>
        <v>D</v>
      </c>
    </row>
    <row r="17" spans="1:46">
      <c r="A17" s="35" t="str">
        <f t="shared" si="0"/>
        <v>,14</v>
      </c>
      <c r="B17" s="35">
        <v>14</v>
      </c>
      <c r="C17" s="35" t="str">
        <f t="shared" si="1"/>
        <v>E</v>
      </c>
      <c r="D17" s="73">
        <f>ROUND(B17*((100-9.48)/255) +9.48,1)</f>
        <v>14.4</v>
      </c>
      <c r="E17" s="39" t="str">
        <f>",0x" &amp;DEC2HEX(ROUND(D17,0))</f>
        <v>,0xE</v>
      </c>
      <c r="G17" s="76">
        <f>B17*(1063)/255</f>
        <v>58.360784313725489</v>
      </c>
      <c r="H17" s="153" t="str">
        <f>"," &amp;ROUND(G17/10,0)</f>
        <v>,6</v>
      </c>
      <c r="J17" s="63">
        <v>3500</v>
      </c>
      <c r="K17" s="63">
        <v>14</v>
      </c>
      <c r="M17" s="73">
        <f t="shared" si="2"/>
        <v>0.14000000000000001</v>
      </c>
      <c r="O17" s="72">
        <f t="shared" si="3"/>
        <v>1.1000000000000001</v>
      </c>
      <c r="Q17" s="73">
        <f t="shared" si="4"/>
        <v>-56.7</v>
      </c>
      <c r="R17" s="39" t="str">
        <f t="shared" si="5"/>
        <v>F</v>
      </c>
      <c r="T17" s="77">
        <f t="shared" si="6"/>
        <v>-21.2</v>
      </c>
      <c r="U17" s="155">
        <f t="shared" si="7"/>
        <v>18.8</v>
      </c>
      <c r="V17" s="39" t="str">
        <f t="shared" si="8"/>
        <v>,0x12</v>
      </c>
      <c r="X17" s="77">
        <f t="shared" si="9"/>
        <v>-21.2</v>
      </c>
      <c r="Y17" s="155">
        <f t="shared" si="10"/>
        <v>18.8</v>
      </c>
      <c r="Z17" s="39" t="str">
        <f t="shared" si="11"/>
        <v>,0x12</v>
      </c>
      <c r="AB17" s="73">
        <f t="shared" si="12"/>
        <v>-89</v>
      </c>
      <c r="AD17" s="157">
        <f t="shared" si="13"/>
        <v>2.8000000000000001E-2</v>
      </c>
      <c r="AE17" s="157">
        <f t="shared" si="14"/>
        <v>7.1680000000000001</v>
      </c>
      <c r="AG17" s="63" t="str">
        <f t="shared" si="15"/>
        <v>E</v>
      </c>
      <c r="AJ17" s="63" t="str">
        <f t="shared" si="16"/>
        <v>E</v>
      </c>
      <c r="AM17" s="63" t="str">
        <f t="shared" si="17"/>
        <v>E</v>
      </c>
      <c r="AP17" s="63" t="str">
        <f t="shared" si="18"/>
        <v>E</v>
      </c>
      <c r="AS17" s="63" t="str">
        <f t="shared" si="19"/>
        <v>E</v>
      </c>
    </row>
    <row r="18" spans="1:46">
      <c r="A18" s="35" t="str">
        <f t="shared" si="0"/>
        <v>,15</v>
      </c>
      <c r="B18" s="35">
        <v>15</v>
      </c>
      <c r="C18" s="35" t="str">
        <f t="shared" si="1"/>
        <v>F</v>
      </c>
      <c r="D18" s="73">
        <f>ROUND(B18*((100-9.48)/255) +9.48,1)</f>
        <v>14.8</v>
      </c>
      <c r="E18" s="39" t="str">
        <f>",0x" &amp;DEC2HEX(ROUND(D18,0))</f>
        <v>,0xF</v>
      </c>
      <c r="G18" s="76">
        <f>B18*(1063)/255</f>
        <v>62.529411764705884</v>
      </c>
      <c r="H18" s="153" t="str">
        <f>"," &amp;ROUND(G18/10,0)</f>
        <v>,6</v>
      </c>
      <c r="J18" s="63">
        <v>3750</v>
      </c>
      <c r="K18" s="63">
        <v>15</v>
      </c>
      <c r="M18" s="73">
        <f t="shared" si="2"/>
        <v>0.15</v>
      </c>
      <c r="O18" s="72">
        <f t="shared" si="3"/>
        <v>1.18</v>
      </c>
      <c r="Q18" s="73">
        <f t="shared" si="4"/>
        <v>-56.5</v>
      </c>
      <c r="R18" s="39" t="str">
        <f t="shared" si="5"/>
        <v>F</v>
      </c>
      <c r="T18" s="77">
        <f t="shared" si="6"/>
        <v>-20.6</v>
      </c>
      <c r="U18" s="155">
        <f t="shared" si="7"/>
        <v>19.399999999999999</v>
      </c>
      <c r="V18" s="39" t="str">
        <f t="shared" si="8"/>
        <v>,0x13</v>
      </c>
      <c r="X18" s="77">
        <f t="shared" si="9"/>
        <v>-20.6</v>
      </c>
      <c r="Y18" s="155">
        <f t="shared" si="10"/>
        <v>19.399999999999999</v>
      </c>
      <c r="Z18" s="39" t="str">
        <f t="shared" si="11"/>
        <v>,0x13</v>
      </c>
      <c r="AB18" s="73">
        <f t="shared" si="12"/>
        <v>-88</v>
      </c>
      <c r="AD18" s="157">
        <f t="shared" si="13"/>
        <v>0.03</v>
      </c>
      <c r="AE18" s="157">
        <f t="shared" si="14"/>
        <v>7.68</v>
      </c>
      <c r="AG18" s="63" t="str">
        <f t="shared" si="15"/>
        <v>F</v>
      </c>
      <c r="AJ18" s="63" t="str">
        <f t="shared" si="16"/>
        <v>F</v>
      </c>
      <c r="AM18" s="63" t="str">
        <f t="shared" si="17"/>
        <v>F</v>
      </c>
      <c r="AP18" s="63" t="str">
        <f t="shared" si="18"/>
        <v>F</v>
      </c>
      <c r="AS18" s="63" t="str">
        <f t="shared" si="19"/>
        <v>F</v>
      </c>
    </row>
    <row r="19" spans="1:46">
      <c r="A19" s="35" t="str">
        <f t="shared" si="0"/>
        <v>,16</v>
      </c>
      <c r="B19" s="35">
        <v>16</v>
      </c>
      <c r="C19" s="35" t="str">
        <f t="shared" si="1"/>
        <v>10</v>
      </c>
      <c r="D19" s="73">
        <f>ROUND(B19*((100-9.48)/255) +9.48,1)</f>
        <v>15.2</v>
      </c>
      <c r="E19" s="39" t="str">
        <f>",0x" &amp;DEC2HEX(ROUND(D19,0))</f>
        <v>,0xF</v>
      </c>
      <c r="G19" s="76">
        <f>B19*(1063)/255</f>
        <v>66.698039215686279</v>
      </c>
      <c r="H19" s="153" t="str">
        <f>"," &amp;ROUND(G19/10,0)</f>
        <v>,7</v>
      </c>
      <c r="J19" s="63">
        <v>4000</v>
      </c>
      <c r="K19" s="63">
        <v>16</v>
      </c>
      <c r="M19" s="73">
        <f t="shared" si="2"/>
        <v>0.16</v>
      </c>
      <c r="O19" s="72">
        <f t="shared" si="3"/>
        <v>1.25</v>
      </c>
      <c r="Q19" s="73">
        <f t="shared" si="4"/>
        <v>-56.2</v>
      </c>
      <c r="R19" s="39" t="str">
        <f t="shared" si="5"/>
        <v>10</v>
      </c>
      <c r="T19" s="77">
        <f t="shared" si="6"/>
        <v>-20</v>
      </c>
      <c r="U19" s="155">
        <f t="shared" si="7"/>
        <v>20</v>
      </c>
      <c r="V19" s="39" t="str">
        <f t="shared" si="8"/>
        <v>,0x14</v>
      </c>
      <c r="X19" s="77">
        <f t="shared" si="9"/>
        <v>-20</v>
      </c>
      <c r="Y19" s="155">
        <f t="shared" si="10"/>
        <v>20</v>
      </c>
      <c r="Z19" s="39" t="str">
        <f t="shared" si="11"/>
        <v>,0x14</v>
      </c>
      <c r="AB19" s="73">
        <f t="shared" si="12"/>
        <v>-87</v>
      </c>
      <c r="AD19" s="157">
        <f t="shared" si="13"/>
        <v>3.2000000000000001E-2</v>
      </c>
      <c r="AE19" s="157">
        <f t="shared" si="14"/>
        <v>8.1920000000000002</v>
      </c>
      <c r="AG19" s="63" t="str">
        <f t="shared" si="15"/>
        <v>10</v>
      </c>
      <c r="AJ19" s="63" t="str">
        <f t="shared" si="16"/>
        <v>10</v>
      </c>
      <c r="AK19" s="63" t="s">
        <v>341</v>
      </c>
      <c r="AM19" s="63" t="str">
        <f t="shared" si="17"/>
        <v>10</v>
      </c>
      <c r="AN19" s="63" t="s">
        <v>340</v>
      </c>
      <c r="AP19" s="63" t="str">
        <f t="shared" si="18"/>
        <v>10</v>
      </c>
      <c r="AQ19" s="63" t="s">
        <v>341</v>
      </c>
      <c r="AS19" s="63" t="str">
        <f t="shared" si="19"/>
        <v>10</v>
      </c>
      <c r="AT19" s="63" t="s">
        <v>365</v>
      </c>
    </row>
    <row r="20" spans="1:46">
      <c r="A20" s="35" t="str">
        <f t="shared" si="0"/>
        <v>,17</v>
      </c>
      <c r="B20" s="35">
        <v>17</v>
      </c>
      <c r="C20" s="35" t="str">
        <f t="shared" si="1"/>
        <v>11</v>
      </c>
      <c r="D20" s="73">
        <f>ROUND(B20*((100-9.48)/255) +9.48,1)</f>
        <v>15.5</v>
      </c>
      <c r="E20" s="39" t="str">
        <f>",0x" &amp;DEC2HEX(ROUND(D20,0))</f>
        <v>,0x10</v>
      </c>
      <c r="G20" s="76">
        <f>B20*(1063)/255</f>
        <v>70.86666666666666</v>
      </c>
      <c r="H20" s="153" t="str">
        <f>"," &amp;ROUND(G20/10,0)</f>
        <v>,7</v>
      </c>
      <c r="J20" s="63">
        <v>4250</v>
      </c>
      <c r="K20" s="63">
        <v>17</v>
      </c>
      <c r="M20" s="73">
        <f t="shared" si="2"/>
        <v>0.17</v>
      </c>
      <c r="O20" s="72">
        <f t="shared" si="3"/>
        <v>1.33</v>
      </c>
      <c r="Q20" s="73">
        <f t="shared" si="4"/>
        <v>-56</v>
      </c>
      <c r="R20" s="39" t="str">
        <f t="shared" si="5"/>
        <v>10</v>
      </c>
      <c r="T20" s="77">
        <f t="shared" si="6"/>
        <v>-19.3</v>
      </c>
      <c r="U20" s="155">
        <f t="shared" si="7"/>
        <v>20.7</v>
      </c>
      <c r="V20" s="39" t="str">
        <f t="shared" si="8"/>
        <v>,0x14</v>
      </c>
      <c r="X20" s="77">
        <f t="shared" si="9"/>
        <v>-19.3</v>
      </c>
      <c r="Y20" s="155">
        <f t="shared" si="10"/>
        <v>20.7</v>
      </c>
      <c r="Z20" s="39" t="str">
        <f t="shared" si="11"/>
        <v>,0x14</v>
      </c>
      <c r="AB20" s="73">
        <f t="shared" si="12"/>
        <v>-87</v>
      </c>
      <c r="AD20" s="157">
        <f t="shared" si="13"/>
        <v>3.4000000000000002E-2</v>
      </c>
      <c r="AE20" s="157">
        <f t="shared" si="14"/>
        <v>8.7040000000000006</v>
      </c>
      <c r="AG20" s="63" t="str">
        <f t="shared" si="15"/>
        <v>11</v>
      </c>
      <c r="AJ20" s="63" t="str">
        <f t="shared" si="16"/>
        <v>11</v>
      </c>
      <c r="AM20" s="63" t="str">
        <f t="shared" si="17"/>
        <v>11</v>
      </c>
      <c r="AP20" s="63" t="str">
        <f t="shared" si="18"/>
        <v>11</v>
      </c>
      <c r="AS20" s="63" t="str">
        <f t="shared" si="19"/>
        <v>11</v>
      </c>
    </row>
    <row r="21" spans="1:46">
      <c r="A21" s="35" t="str">
        <f t="shared" si="0"/>
        <v>,18</v>
      </c>
      <c r="B21" s="35">
        <v>18</v>
      </c>
      <c r="C21" s="35" t="str">
        <f t="shared" si="1"/>
        <v>12</v>
      </c>
      <c r="D21" s="73">
        <f>ROUND(B21*((100-9.48)/255) +9.48,1)</f>
        <v>15.9</v>
      </c>
      <c r="E21" s="39" t="str">
        <f>",0x" &amp;DEC2HEX(ROUND(D21,0))</f>
        <v>,0x10</v>
      </c>
      <c r="G21" s="76">
        <f>B21*(1063)/255</f>
        <v>75.035294117647055</v>
      </c>
      <c r="H21" s="153" t="str">
        <f>"," &amp;ROUND(G21/10,0)</f>
        <v>,8</v>
      </c>
      <c r="J21" s="63">
        <v>4500</v>
      </c>
      <c r="K21" s="63">
        <v>18</v>
      </c>
      <c r="M21" s="73">
        <f t="shared" si="2"/>
        <v>0.18</v>
      </c>
      <c r="O21" s="72">
        <f t="shared" si="3"/>
        <v>1.41</v>
      </c>
      <c r="Q21" s="73">
        <f t="shared" si="4"/>
        <v>-55.8</v>
      </c>
      <c r="R21" s="39" t="str">
        <f t="shared" si="5"/>
        <v>10</v>
      </c>
      <c r="T21" s="77">
        <f t="shared" si="6"/>
        <v>-18.7</v>
      </c>
      <c r="U21" s="155">
        <f t="shared" si="7"/>
        <v>21.3</v>
      </c>
      <c r="V21" s="39" t="str">
        <f t="shared" si="8"/>
        <v>,0x15</v>
      </c>
      <c r="X21" s="77">
        <f t="shared" si="9"/>
        <v>-18.7</v>
      </c>
      <c r="Y21" s="155">
        <f t="shared" si="10"/>
        <v>21.3</v>
      </c>
      <c r="Z21" s="39" t="str">
        <f t="shared" si="11"/>
        <v>,0x15</v>
      </c>
      <c r="AB21" s="73">
        <f t="shared" si="12"/>
        <v>-86</v>
      </c>
      <c r="AD21" s="157">
        <f t="shared" si="13"/>
        <v>3.5999999999999997E-2</v>
      </c>
      <c r="AE21" s="157">
        <f t="shared" si="14"/>
        <v>9.2159999999999993</v>
      </c>
      <c r="AG21" s="63" t="str">
        <f t="shared" si="15"/>
        <v>12</v>
      </c>
      <c r="AJ21" s="63" t="str">
        <f t="shared" si="16"/>
        <v>12</v>
      </c>
      <c r="AM21" s="63" t="str">
        <f t="shared" si="17"/>
        <v>12</v>
      </c>
      <c r="AP21" s="63" t="str">
        <f t="shared" si="18"/>
        <v>12</v>
      </c>
      <c r="AS21" s="63" t="str">
        <f t="shared" si="19"/>
        <v>12</v>
      </c>
    </row>
    <row r="22" spans="1:46">
      <c r="A22" s="35" t="str">
        <f t="shared" si="0"/>
        <v>,19</v>
      </c>
      <c r="B22" s="35">
        <v>19</v>
      </c>
      <c r="C22" s="35" t="str">
        <f t="shared" si="1"/>
        <v>13</v>
      </c>
      <c r="D22" s="73">
        <f>ROUND(B22*((100-9.48)/255) +9.48,1)</f>
        <v>16.2</v>
      </c>
      <c r="E22" s="39" t="str">
        <f>",0x" &amp;DEC2HEX(ROUND(D22,0))</f>
        <v>,0x10</v>
      </c>
      <c r="G22" s="76">
        <f>B22*(1063)/255</f>
        <v>79.20392156862745</v>
      </c>
      <c r="H22" s="153" t="str">
        <f>"," &amp;ROUND(G22/10,0)</f>
        <v>,8</v>
      </c>
      <c r="J22" s="63">
        <v>4750</v>
      </c>
      <c r="K22" s="63">
        <v>19</v>
      </c>
      <c r="M22" s="73">
        <f t="shared" si="2"/>
        <v>0.19</v>
      </c>
      <c r="O22" s="72">
        <f t="shared" si="3"/>
        <v>1.49</v>
      </c>
      <c r="Q22" s="73">
        <f t="shared" si="4"/>
        <v>-55.5</v>
      </c>
      <c r="R22" s="39" t="str">
        <f t="shared" si="5"/>
        <v>11</v>
      </c>
      <c r="T22" s="77">
        <f t="shared" si="6"/>
        <v>-18.100000000000001</v>
      </c>
      <c r="U22" s="155">
        <f t="shared" si="7"/>
        <v>21.9</v>
      </c>
      <c r="V22" s="39" t="str">
        <f t="shared" si="8"/>
        <v>,0x15</v>
      </c>
      <c r="X22" s="77">
        <f t="shared" si="9"/>
        <v>-18.100000000000001</v>
      </c>
      <c r="Y22" s="155">
        <f t="shared" si="10"/>
        <v>21.9</v>
      </c>
      <c r="Z22" s="39" t="str">
        <f t="shared" si="11"/>
        <v>,0x15</v>
      </c>
      <c r="AB22" s="73">
        <f t="shared" si="12"/>
        <v>-85</v>
      </c>
      <c r="AD22" s="157">
        <f t="shared" si="13"/>
        <v>3.7999999999999999E-2</v>
      </c>
      <c r="AE22" s="157">
        <f t="shared" si="14"/>
        <v>9.7279999999999998</v>
      </c>
      <c r="AG22" s="63" t="str">
        <f t="shared" si="15"/>
        <v>13</v>
      </c>
      <c r="AJ22" s="63" t="str">
        <f t="shared" si="16"/>
        <v>13</v>
      </c>
      <c r="AM22" s="63" t="str">
        <f t="shared" si="17"/>
        <v>13</v>
      </c>
      <c r="AP22" s="63" t="str">
        <f t="shared" si="18"/>
        <v>13</v>
      </c>
      <c r="AS22" s="63" t="str">
        <f t="shared" si="19"/>
        <v>13</v>
      </c>
    </row>
    <row r="23" spans="1:46">
      <c r="A23" s="35" t="str">
        <f t="shared" si="0"/>
        <v>,20</v>
      </c>
      <c r="B23" s="35">
        <v>20</v>
      </c>
      <c r="C23" s="35" t="str">
        <f t="shared" si="1"/>
        <v>14</v>
      </c>
      <c r="D23" s="73">
        <f>ROUND(B23*((100-9.48)/255) +9.48,1)</f>
        <v>16.600000000000001</v>
      </c>
      <c r="E23" s="39" t="str">
        <f>",0x" &amp;DEC2HEX(ROUND(D23,0))</f>
        <v>,0x11</v>
      </c>
      <c r="G23" s="76">
        <f>B23*(1063)/255</f>
        <v>83.372549019607845</v>
      </c>
      <c r="H23" s="153" t="str">
        <f>"," &amp;ROUND(G23/10,0)</f>
        <v>,8</v>
      </c>
      <c r="J23" s="63">
        <v>5000</v>
      </c>
      <c r="K23" s="63">
        <v>20</v>
      </c>
      <c r="M23" s="73">
        <f t="shared" si="2"/>
        <v>0.2</v>
      </c>
      <c r="O23" s="72">
        <f t="shared" si="3"/>
        <v>1.57</v>
      </c>
      <c r="Q23" s="73">
        <f t="shared" si="4"/>
        <v>-55.3</v>
      </c>
      <c r="R23" s="39" t="str">
        <f t="shared" si="5"/>
        <v>11</v>
      </c>
      <c r="T23" s="77">
        <f t="shared" si="6"/>
        <v>-17.5</v>
      </c>
      <c r="U23" s="155">
        <f t="shared" si="7"/>
        <v>22.5</v>
      </c>
      <c r="V23" s="39" t="str">
        <f t="shared" si="8"/>
        <v>,0x16</v>
      </c>
      <c r="X23" s="77">
        <f t="shared" si="9"/>
        <v>-17.5</v>
      </c>
      <c r="Y23" s="155">
        <f t="shared" si="10"/>
        <v>22.5</v>
      </c>
      <c r="Z23" s="39" t="str">
        <f t="shared" si="11"/>
        <v>,0x16</v>
      </c>
      <c r="AB23" s="73">
        <f t="shared" si="12"/>
        <v>-84</v>
      </c>
      <c r="AD23" s="157">
        <f t="shared" si="13"/>
        <v>0.04</v>
      </c>
      <c r="AE23" s="157">
        <f t="shared" si="14"/>
        <v>10.24</v>
      </c>
      <c r="AG23" s="63" t="str">
        <f t="shared" si="15"/>
        <v>14</v>
      </c>
      <c r="AJ23" s="63" t="str">
        <f t="shared" si="16"/>
        <v>14</v>
      </c>
      <c r="AM23" s="63" t="str">
        <f t="shared" si="17"/>
        <v>14</v>
      </c>
      <c r="AP23" s="63" t="str">
        <f t="shared" si="18"/>
        <v>14</v>
      </c>
      <c r="AS23" s="63" t="str">
        <f t="shared" si="19"/>
        <v>14</v>
      </c>
    </row>
    <row r="24" spans="1:46">
      <c r="A24" s="35" t="str">
        <f t="shared" si="0"/>
        <v>,21</v>
      </c>
      <c r="B24" s="35">
        <v>21</v>
      </c>
      <c r="C24" s="35" t="str">
        <f t="shared" si="1"/>
        <v>15</v>
      </c>
      <c r="D24" s="73">
        <f>ROUND(B24*((100-9.48)/255) +9.48,1)</f>
        <v>16.899999999999999</v>
      </c>
      <c r="E24" s="39" t="str">
        <f>",0x" &amp;DEC2HEX(ROUND(D24,0))</f>
        <v>,0x11</v>
      </c>
      <c r="G24" s="76">
        <f>B24*(1063)/255</f>
        <v>87.54117647058824</v>
      </c>
      <c r="H24" s="153" t="str">
        <f>"," &amp;ROUND(G24/10,0)</f>
        <v>,9</v>
      </c>
      <c r="J24" s="63">
        <v>5250</v>
      </c>
      <c r="K24" s="63">
        <v>21</v>
      </c>
      <c r="M24" s="73">
        <f t="shared" si="2"/>
        <v>0.21</v>
      </c>
      <c r="O24" s="72">
        <f t="shared" si="3"/>
        <v>1.65</v>
      </c>
      <c r="Q24" s="73">
        <f t="shared" si="4"/>
        <v>-55.1</v>
      </c>
      <c r="R24" s="39" t="str">
        <f t="shared" si="5"/>
        <v>12</v>
      </c>
      <c r="T24" s="77">
        <f t="shared" si="6"/>
        <v>-16.8</v>
      </c>
      <c r="U24" s="155">
        <f t="shared" si="7"/>
        <v>23.2</v>
      </c>
      <c r="V24" s="39" t="str">
        <f t="shared" si="8"/>
        <v>,0x17</v>
      </c>
      <c r="X24" s="77">
        <f t="shared" si="9"/>
        <v>-16.8</v>
      </c>
      <c r="Y24" s="155">
        <f t="shared" si="10"/>
        <v>23.2</v>
      </c>
      <c r="Z24" s="39" t="str">
        <f t="shared" si="11"/>
        <v>,0x17</v>
      </c>
      <c r="AB24" s="73">
        <f t="shared" si="12"/>
        <v>-84</v>
      </c>
      <c r="AD24" s="157">
        <f t="shared" si="13"/>
        <v>4.2000000000000003E-2</v>
      </c>
      <c r="AE24" s="157">
        <f t="shared" si="14"/>
        <v>10.752000000000001</v>
      </c>
      <c r="AG24" s="63" t="str">
        <f t="shared" si="15"/>
        <v>15</v>
      </c>
      <c r="AJ24" s="63" t="str">
        <f t="shared" si="16"/>
        <v>15</v>
      </c>
      <c r="AM24" s="63" t="str">
        <f t="shared" si="17"/>
        <v>15</v>
      </c>
      <c r="AP24" s="63" t="str">
        <f t="shared" si="18"/>
        <v>15</v>
      </c>
      <c r="AS24" s="63" t="str">
        <f t="shared" si="19"/>
        <v>15</v>
      </c>
    </row>
    <row r="25" spans="1:46">
      <c r="A25" s="35" t="str">
        <f t="shared" si="0"/>
        <v>,21</v>
      </c>
      <c r="B25" s="35">
        <v>22</v>
      </c>
      <c r="C25" s="35" t="str">
        <f t="shared" si="1"/>
        <v>16</v>
      </c>
      <c r="D25" s="73">
        <f>ROUND(B25*((100-9.48)/255) +9.48,1)</f>
        <v>17.3</v>
      </c>
      <c r="E25" s="39" t="str">
        <f>",0x" &amp;DEC2HEX(ROUND(D25,0))</f>
        <v>,0x11</v>
      </c>
      <c r="G25" s="76">
        <f>B25*(1063)/255</f>
        <v>91.709803921568621</v>
      </c>
      <c r="H25" s="153" t="str">
        <f>"," &amp;ROUND(G25/10,0)</f>
        <v>,9</v>
      </c>
      <c r="J25" s="63">
        <v>5500</v>
      </c>
      <c r="K25" s="63">
        <v>21</v>
      </c>
      <c r="M25" s="73">
        <f t="shared" si="2"/>
        <v>0.22</v>
      </c>
      <c r="O25" s="72">
        <f t="shared" si="3"/>
        <v>1.73</v>
      </c>
      <c r="Q25" s="73">
        <f t="shared" si="4"/>
        <v>-54.8</v>
      </c>
      <c r="R25" s="39" t="str">
        <f t="shared" si="5"/>
        <v>12</v>
      </c>
      <c r="T25" s="77">
        <f t="shared" si="6"/>
        <v>-16.2</v>
      </c>
      <c r="U25" s="155">
        <f t="shared" si="7"/>
        <v>23.8</v>
      </c>
      <c r="V25" s="39" t="str">
        <f t="shared" si="8"/>
        <v>,0x17</v>
      </c>
      <c r="X25" s="77">
        <f t="shared" si="9"/>
        <v>-16.2</v>
      </c>
      <c r="Y25" s="155">
        <f t="shared" si="10"/>
        <v>23.8</v>
      </c>
      <c r="Z25" s="39" t="str">
        <f t="shared" si="11"/>
        <v>,0x17</v>
      </c>
      <c r="AB25" s="73">
        <f t="shared" si="12"/>
        <v>-83</v>
      </c>
      <c r="AD25" s="157">
        <f t="shared" si="13"/>
        <v>4.3999999999999997E-2</v>
      </c>
      <c r="AE25" s="157">
        <f t="shared" si="14"/>
        <v>11.263999999999999</v>
      </c>
      <c r="AG25" s="63" t="str">
        <f t="shared" si="15"/>
        <v>16</v>
      </c>
      <c r="AJ25" s="63" t="str">
        <f t="shared" si="16"/>
        <v>16</v>
      </c>
      <c r="AM25" s="63" t="str">
        <f t="shared" si="17"/>
        <v>16</v>
      </c>
      <c r="AP25" s="63" t="str">
        <f t="shared" si="18"/>
        <v>16</v>
      </c>
      <c r="AS25" s="63" t="str">
        <f t="shared" si="19"/>
        <v>16</v>
      </c>
    </row>
    <row r="26" spans="1:46">
      <c r="A26" s="35" t="str">
        <f t="shared" si="0"/>
        <v>,22</v>
      </c>
      <c r="B26" s="35">
        <v>23</v>
      </c>
      <c r="C26" s="35" t="str">
        <f t="shared" si="1"/>
        <v>17</v>
      </c>
      <c r="D26" s="73">
        <f>ROUND(B26*((100-9.48)/255) +9.48,1)</f>
        <v>17.600000000000001</v>
      </c>
      <c r="E26" s="39" t="str">
        <f>",0x" &amp;DEC2HEX(ROUND(D26,0))</f>
        <v>,0x12</v>
      </c>
      <c r="G26" s="76">
        <f>B26*(1063)/255</f>
        <v>95.878431372549016</v>
      </c>
      <c r="H26" s="153" t="str">
        <f>"," &amp;ROUND(G26/10,0)</f>
        <v>,10</v>
      </c>
      <c r="J26" s="63">
        <v>5750</v>
      </c>
      <c r="K26" s="63">
        <v>22</v>
      </c>
      <c r="M26" s="73">
        <f t="shared" si="2"/>
        <v>0.23</v>
      </c>
      <c r="O26" s="72">
        <f t="shared" si="3"/>
        <v>1.8</v>
      </c>
      <c r="Q26" s="73">
        <f t="shared" si="4"/>
        <v>-54.6</v>
      </c>
      <c r="R26" s="39" t="str">
        <f t="shared" si="5"/>
        <v>13</v>
      </c>
      <c r="T26" s="77">
        <f t="shared" si="6"/>
        <v>-15.6</v>
      </c>
      <c r="U26" s="155">
        <f t="shared" si="7"/>
        <v>24.4</v>
      </c>
      <c r="V26" s="39" t="str">
        <f t="shared" si="8"/>
        <v>,0x18</v>
      </c>
      <c r="X26" s="77">
        <f t="shared" si="9"/>
        <v>-15.6</v>
      </c>
      <c r="Y26" s="155">
        <f t="shared" si="10"/>
        <v>24.4</v>
      </c>
      <c r="Z26" s="39" t="str">
        <f t="shared" si="11"/>
        <v>,0x18</v>
      </c>
      <c r="AB26" s="73">
        <f t="shared" si="12"/>
        <v>-82</v>
      </c>
      <c r="AD26" s="157">
        <f t="shared" si="13"/>
        <v>4.5999999999999999E-2</v>
      </c>
      <c r="AE26" s="157">
        <f t="shared" si="14"/>
        <v>11.776</v>
      </c>
      <c r="AG26" s="63" t="str">
        <f t="shared" si="15"/>
        <v>17</v>
      </c>
      <c r="AJ26" s="63" t="str">
        <f t="shared" si="16"/>
        <v>17</v>
      </c>
      <c r="AM26" s="63" t="str">
        <f t="shared" si="17"/>
        <v>17</v>
      </c>
      <c r="AP26" s="63" t="str">
        <f t="shared" si="18"/>
        <v>17</v>
      </c>
      <c r="AS26" s="63" t="str">
        <f t="shared" si="19"/>
        <v>17</v>
      </c>
    </row>
    <row r="27" spans="1:46">
      <c r="A27" s="35" t="str">
        <f t="shared" si="0"/>
        <v>,23</v>
      </c>
      <c r="B27" s="35">
        <v>24</v>
      </c>
      <c r="C27" s="35" t="str">
        <f t="shared" si="1"/>
        <v>18</v>
      </c>
      <c r="D27" s="73">
        <f>ROUND(B27*((100-9.48)/255) +9.48,1)</f>
        <v>18</v>
      </c>
      <c r="E27" s="39" t="str">
        <f>",0x" &amp;DEC2HEX(ROUND(D27,0))</f>
        <v>,0x12</v>
      </c>
      <c r="G27" s="76">
        <f>B27*(1063)/255</f>
        <v>100.04705882352941</v>
      </c>
      <c r="H27" s="153" t="str">
        <f>"," &amp;ROUND(G27/10,0)</f>
        <v>,10</v>
      </c>
      <c r="J27" s="63">
        <v>6000</v>
      </c>
      <c r="K27" s="63">
        <v>23</v>
      </c>
      <c r="M27" s="73">
        <f t="shared" si="2"/>
        <v>0.24</v>
      </c>
      <c r="O27" s="72">
        <f t="shared" si="3"/>
        <v>1.88</v>
      </c>
      <c r="Q27" s="73">
        <f t="shared" si="4"/>
        <v>-54.4</v>
      </c>
      <c r="R27" s="39" t="str">
        <f t="shared" si="5"/>
        <v>13</v>
      </c>
      <c r="T27" s="77">
        <f t="shared" si="6"/>
        <v>-14.9</v>
      </c>
      <c r="U27" s="155">
        <f t="shared" si="7"/>
        <v>25.1</v>
      </c>
      <c r="V27" s="39" t="str">
        <f t="shared" si="8"/>
        <v>,0x19</v>
      </c>
      <c r="X27" s="77">
        <f t="shared" si="9"/>
        <v>-14.9</v>
      </c>
      <c r="Y27" s="155">
        <f t="shared" si="10"/>
        <v>25.1</v>
      </c>
      <c r="Z27" s="39" t="str">
        <f t="shared" si="11"/>
        <v>,0x19</v>
      </c>
      <c r="AB27" s="73">
        <f t="shared" si="12"/>
        <v>-81</v>
      </c>
      <c r="AD27" s="157">
        <f t="shared" si="13"/>
        <v>4.8000000000000001E-2</v>
      </c>
      <c r="AE27" s="157">
        <f t="shared" si="14"/>
        <v>12.288</v>
      </c>
      <c r="AG27" s="63" t="str">
        <f t="shared" si="15"/>
        <v>18</v>
      </c>
      <c r="AJ27" s="63" t="str">
        <f t="shared" si="16"/>
        <v>18</v>
      </c>
      <c r="AM27" s="63" t="str">
        <f t="shared" si="17"/>
        <v>18</v>
      </c>
      <c r="AP27" s="63" t="str">
        <f t="shared" si="18"/>
        <v>18</v>
      </c>
      <c r="AS27" s="63" t="str">
        <f t="shared" si="19"/>
        <v>18</v>
      </c>
    </row>
    <row r="28" spans="1:46">
      <c r="A28" s="35" t="str">
        <f t="shared" si="0"/>
        <v>,24</v>
      </c>
      <c r="B28" s="35">
        <v>25</v>
      </c>
      <c r="C28" s="35" t="str">
        <f t="shared" si="1"/>
        <v>19</v>
      </c>
      <c r="D28" s="73">
        <f>ROUND(B28*((100-9.48)/255) +9.48,1)</f>
        <v>18.399999999999999</v>
      </c>
      <c r="E28" s="39" t="str">
        <f>",0x" &amp;DEC2HEX(ROUND(D28,0))</f>
        <v>,0x12</v>
      </c>
      <c r="G28" s="76">
        <f>B28*(1063)/255</f>
        <v>104.21568627450981</v>
      </c>
      <c r="H28" s="153" t="str">
        <f>"," &amp;ROUND(G28/10,0)</f>
        <v>,10</v>
      </c>
      <c r="J28" s="63">
        <v>6250</v>
      </c>
      <c r="K28" s="63">
        <v>24</v>
      </c>
      <c r="M28" s="73">
        <f t="shared" si="2"/>
        <v>0.25</v>
      </c>
      <c r="O28" s="72">
        <f t="shared" si="3"/>
        <v>1.96</v>
      </c>
      <c r="Q28" s="73">
        <f t="shared" si="4"/>
        <v>-54.1</v>
      </c>
      <c r="R28" s="39" t="str">
        <f t="shared" si="5"/>
        <v>14</v>
      </c>
      <c r="T28" s="77">
        <f t="shared" si="6"/>
        <v>-14.3</v>
      </c>
      <c r="U28" s="155">
        <f t="shared" si="7"/>
        <v>25.7</v>
      </c>
      <c r="V28" s="39" t="str">
        <f t="shared" si="8"/>
        <v>,0x19</v>
      </c>
      <c r="X28" s="77">
        <f t="shared" si="9"/>
        <v>-14.3</v>
      </c>
      <c r="Y28" s="155">
        <f t="shared" si="10"/>
        <v>25.7</v>
      </c>
      <c r="Z28" s="39" t="str">
        <f t="shared" si="11"/>
        <v>,0x19</v>
      </c>
      <c r="AB28" s="73">
        <f t="shared" si="12"/>
        <v>-80</v>
      </c>
      <c r="AD28" s="157">
        <f t="shared" si="13"/>
        <v>0.05</v>
      </c>
      <c r="AE28" s="157">
        <f t="shared" si="14"/>
        <v>12.8</v>
      </c>
      <c r="AG28" s="63" t="str">
        <f t="shared" si="15"/>
        <v>19</v>
      </c>
      <c r="AJ28" s="63" t="str">
        <f t="shared" si="16"/>
        <v>19</v>
      </c>
      <c r="AM28" s="63" t="str">
        <f t="shared" si="17"/>
        <v>19</v>
      </c>
      <c r="AP28" s="63" t="str">
        <f t="shared" si="18"/>
        <v>19</v>
      </c>
      <c r="AS28" s="63" t="str">
        <f t="shared" si="19"/>
        <v>19</v>
      </c>
    </row>
    <row r="29" spans="1:46">
      <c r="A29" s="35" t="str">
        <f t="shared" si="0"/>
        <v>,25</v>
      </c>
      <c r="B29" s="35">
        <v>26</v>
      </c>
      <c r="C29" s="35" t="str">
        <f t="shared" si="1"/>
        <v>1A</v>
      </c>
      <c r="D29" s="73">
        <f>ROUND(B29*((100-9.48)/255) +9.48,1)</f>
        <v>18.7</v>
      </c>
      <c r="E29" s="39" t="str">
        <f>",0x" &amp;DEC2HEX(ROUND(D29,0))</f>
        <v>,0x13</v>
      </c>
      <c r="G29" s="76">
        <f>B29*(1063)/255</f>
        <v>108.3843137254902</v>
      </c>
      <c r="H29" s="153" t="str">
        <f>"," &amp;ROUND(G29/10,0)</f>
        <v>,11</v>
      </c>
      <c r="J29" s="63">
        <v>6500</v>
      </c>
      <c r="K29" s="63">
        <v>25</v>
      </c>
      <c r="M29" s="73">
        <f t="shared" si="2"/>
        <v>0.25</v>
      </c>
      <c r="O29" s="72">
        <f t="shared" si="3"/>
        <v>2.04</v>
      </c>
      <c r="Q29" s="73">
        <f t="shared" si="4"/>
        <v>-53.9</v>
      </c>
      <c r="R29" s="39" t="str">
        <f t="shared" si="5"/>
        <v>14</v>
      </c>
      <c r="T29" s="77">
        <f t="shared" si="6"/>
        <v>-13.7</v>
      </c>
      <c r="U29" s="155">
        <f t="shared" si="7"/>
        <v>26.3</v>
      </c>
      <c r="V29" s="39" t="str">
        <f t="shared" si="8"/>
        <v>,0x1A</v>
      </c>
      <c r="X29" s="77">
        <f t="shared" si="9"/>
        <v>-13.7</v>
      </c>
      <c r="Y29" s="155">
        <f t="shared" si="10"/>
        <v>26.3</v>
      </c>
      <c r="Z29" s="39" t="str">
        <f t="shared" si="11"/>
        <v>,0x1A</v>
      </c>
      <c r="AB29" s="73">
        <f t="shared" si="12"/>
        <v>-80</v>
      </c>
      <c r="AD29" s="157">
        <f t="shared" si="13"/>
        <v>5.1999999999999998E-2</v>
      </c>
      <c r="AE29" s="157">
        <f t="shared" si="14"/>
        <v>13.311999999999999</v>
      </c>
      <c r="AG29" s="63" t="str">
        <f t="shared" si="15"/>
        <v>1A</v>
      </c>
      <c r="AJ29" s="63" t="str">
        <f t="shared" si="16"/>
        <v>1A</v>
      </c>
      <c r="AM29" s="63" t="str">
        <f t="shared" si="17"/>
        <v>1A</v>
      </c>
      <c r="AP29" s="63" t="str">
        <f t="shared" si="18"/>
        <v>1A</v>
      </c>
      <c r="AS29" s="63" t="str">
        <f t="shared" si="19"/>
        <v>1A</v>
      </c>
    </row>
    <row r="30" spans="1:46">
      <c r="A30" s="35" t="str">
        <f t="shared" si="0"/>
        <v>,26</v>
      </c>
      <c r="B30" s="35">
        <v>27</v>
      </c>
      <c r="C30" s="35" t="str">
        <f t="shared" si="1"/>
        <v>1B</v>
      </c>
      <c r="D30" s="73">
        <f>ROUND(B30*((100-9.48)/255) +9.48,1)</f>
        <v>19.100000000000001</v>
      </c>
      <c r="E30" s="39" t="str">
        <f>",0x" &amp;DEC2HEX(ROUND(D30,0))</f>
        <v>,0x13</v>
      </c>
      <c r="G30" s="76">
        <f>B30*(1063)/255</f>
        <v>112.55294117647058</v>
      </c>
      <c r="H30" s="153" t="str">
        <f>"," &amp;ROUND(G30/10,0)</f>
        <v>,11</v>
      </c>
      <c r="J30" s="63">
        <v>6750</v>
      </c>
      <c r="K30" s="63">
        <v>26</v>
      </c>
      <c r="M30" s="73">
        <f t="shared" si="2"/>
        <v>0.26</v>
      </c>
      <c r="O30" s="72">
        <f t="shared" si="3"/>
        <v>2.12</v>
      </c>
      <c r="Q30" s="73">
        <f t="shared" si="4"/>
        <v>-53.6</v>
      </c>
      <c r="R30" s="39" t="str">
        <f t="shared" si="5"/>
        <v>15</v>
      </c>
      <c r="T30" s="77">
        <f t="shared" si="6"/>
        <v>-13.1</v>
      </c>
      <c r="U30" s="155">
        <f t="shared" si="7"/>
        <v>26.9</v>
      </c>
      <c r="V30" s="39" t="str">
        <f t="shared" si="8"/>
        <v>,0x1A</v>
      </c>
      <c r="X30" s="77">
        <f t="shared" si="9"/>
        <v>-13.1</v>
      </c>
      <c r="Y30" s="155">
        <f t="shared" si="10"/>
        <v>26.9</v>
      </c>
      <c r="Z30" s="39" t="str">
        <f t="shared" si="11"/>
        <v>,0x1A</v>
      </c>
      <c r="AB30" s="73">
        <f t="shared" si="12"/>
        <v>-79</v>
      </c>
      <c r="AD30" s="157">
        <f t="shared" si="13"/>
        <v>5.3999999999999999E-2</v>
      </c>
      <c r="AE30" s="157">
        <f t="shared" si="14"/>
        <v>13.824</v>
      </c>
      <c r="AG30" s="63" t="str">
        <f t="shared" si="15"/>
        <v>1B</v>
      </c>
      <c r="AJ30" s="63" t="str">
        <f t="shared" si="16"/>
        <v>1B</v>
      </c>
      <c r="AM30" s="63" t="str">
        <f t="shared" si="17"/>
        <v>1B</v>
      </c>
      <c r="AP30" s="63" t="str">
        <f t="shared" si="18"/>
        <v>1B</v>
      </c>
      <c r="AS30" s="63" t="str">
        <f t="shared" si="19"/>
        <v>1B</v>
      </c>
    </row>
    <row r="31" spans="1:46">
      <c r="A31" s="35" t="str">
        <f t="shared" si="0"/>
        <v>,27</v>
      </c>
      <c r="B31" s="35">
        <v>28</v>
      </c>
      <c r="C31" s="35" t="str">
        <f t="shared" si="1"/>
        <v>1C</v>
      </c>
      <c r="D31" s="73">
        <f>ROUND(B31*((100-9.48)/255) +9.48,1)</f>
        <v>19.399999999999999</v>
      </c>
      <c r="E31" s="39" t="str">
        <f>",0x" &amp;DEC2HEX(ROUND(D31,0))</f>
        <v>,0x13</v>
      </c>
      <c r="G31" s="76">
        <f>B31*(1063)/255</f>
        <v>116.72156862745098</v>
      </c>
      <c r="H31" s="153" t="str">
        <f>"," &amp;ROUND(G31/10,0)</f>
        <v>,12</v>
      </c>
      <c r="J31" s="63">
        <v>7000</v>
      </c>
      <c r="K31" s="63">
        <v>27</v>
      </c>
      <c r="M31" s="73">
        <f t="shared" si="2"/>
        <v>0.27</v>
      </c>
      <c r="O31" s="72">
        <f t="shared" si="3"/>
        <v>2.2000000000000002</v>
      </c>
      <c r="Q31" s="73">
        <f t="shared" si="4"/>
        <v>-53.4</v>
      </c>
      <c r="R31" s="39" t="str">
        <f t="shared" si="5"/>
        <v>15</v>
      </c>
      <c r="T31" s="77">
        <f t="shared" si="6"/>
        <v>-12.4</v>
      </c>
      <c r="U31" s="155">
        <f t="shared" si="7"/>
        <v>27.6</v>
      </c>
      <c r="V31" s="39" t="str">
        <f t="shared" si="8"/>
        <v>,0x1B</v>
      </c>
      <c r="X31" s="77">
        <f t="shared" si="9"/>
        <v>-12.4</v>
      </c>
      <c r="Y31" s="155">
        <f t="shared" si="10"/>
        <v>27.6</v>
      </c>
      <c r="Z31" s="39" t="str">
        <f t="shared" si="11"/>
        <v>,0x1B</v>
      </c>
      <c r="AB31" s="73">
        <f t="shared" si="12"/>
        <v>-78</v>
      </c>
      <c r="AD31" s="157">
        <f t="shared" si="13"/>
        <v>5.6000000000000001E-2</v>
      </c>
      <c r="AE31" s="157">
        <f t="shared" si="14"/>
        <v>14.336</v>
      </c>
      <c r="AG31" s="63" t="str">
        <f t="shared" si="15"/>
        <v>1C</v>
      </c>
      <c r="AJ31" s="63" t="str">
        <f t="shared" si="16"/>
        <v>1C</v>
      </c>
      <c r="AM31" s="63" t="str">
        <f t="shared" si="17"/>
        <v>1C</v>
      </c>
      <c r="AP31" s="63" t="str">
        <f t="shared" si="18"/>
        <v>1C</v>
      </c>
      <c r="AS31" s="63" t="str">
        <f t="shared" si="19"/>
        <v>1C</v>
      </c>
    </row>
    <row r="32" spans="1:46">
      <c r="A32" s="35" t="str">
        <f t="shared" si="0"/>
        <v>,28</v>
      </c>
      <c r="B32" s="35">
        <v>29</v>
      </c>
      <c r="C32" s="35" t="str">
        <f t="shared" si="1"/>
        <v>1D</v>
      </c>
      <c r="D32" s="73">
        <f>ROUND(B32*((100-9.48)/255) +9.48,1)</f>
        <v>19.8</v>
      </c>
      <c r="E32" s="39" t="str">
        <f>",0x" &amp;DEC2HEX(ROUND(D32,0))</f>
        <v>,0x14</v>
      </c>
      <c r="G32" s="76">
        <f>B32*(1063)/255</f>
        <v>120.89019607843137</v>
      </c>
      <c r="H32" s="153" t="str">
        <f>"," &amp;ROUND(G32/10,0)</f>
        <v>,12</v>
      </c>
      <c r="J32" s="63">
        <v>7250</v>
      </c>
      <c r="K32" s="63">
        <v>28</v>
      </c>
      <c r="M32" s="73">
        <f t="shared" si="2"/>
        <v>0.28000000000000003</v>
      </c>
      <c r="O32" s="72">
        <f t="shared" si="3"/>
        <v>2.27</v>
      </c>
      <c r="Q32" s="73">
        <f t="shared" si="4"/>
        <v>-53.2</v>
      </c>
      <c r="R32" s="39" t="str">
        <f t="shared" si="5"/>
        <v>16</v>
      </c>
      <c r="T32" s="77">
        <f t="shared" si="6"/>
        <v>-11.8</v>
      </c>
      <c r="U32" s="155">
        <f t="shared" si="7"/>
        <v>28.2</v>
      </c>
      <c r="V32" s="39" t="str">
        <f t="shared" si="8"/>
        <v>,0x1C</v>
      </c>
      <c r="X32" s="77">
        <f t="shared" si="9"/>
        <v>-11.8</v>
      </c>
      <c r="Y32" s="155">
        <f t="shared" si="10"/>
        <v>28.2</v>
      </c>
      <c r="Z32" s="39" t="str">
        <f t="shared" si="11"/>
        <v>,0x1C</v>
      </c>
      <c r="AB32" s="73">
        <f t="shared" si="12"/>
        <v>-77</v>
      </c>
      <c r="AD32" s="157">
        <f t="shared" si="13"/>
        <v>5.8000000000000003E-2</v>
      </c>
      <c r="AE32" s="157">
        <f t="shared" si="14"/>
        <v>14.848000000000001</v>
      </c>
      <c r="AG32" s="63" t="str">
        <f t="shared" si="15"/>
        <v>1D</v>
      </c>
      <c r="AJ32" s="63" t="str">
        <f t="shared" si="16"/>
        <v>1D</v>
      </c>
      <c r="AM32" s="63" t="str">
        <f t="shared" si="17"/>
        <v>1D</v>
      </c>
      <c r="AP32" s="63" t="str">
        <f t="shared" si="18"/>
        <v>1D</v>
      </c>
      <c r="AS32" s="63" t="str">
        <f t="shared" si="19"/>
        <v>1D</v>
      </c>
    </row>
    <row r="33" spans="1:46">
      <c r="A33" s="35" t="str">
        <f t="shared" si="0"/>
        <v>,29</v>
      </c>
      <c r="B33" s="35">
        <v>30</v>
      </c>
      <c r="C33" s="35" t="str">
        <f t="shared" si="1"/>
        <v>1E</v>
      </c>
      <c r="D33" s="73">
        <f>ROUND(B33*((100-9.48)/255) +9.48,1)</f>
        <v>20.100000000000001</v>
      </c>
      <c r="E33" s="39" t="str">
        <f>",0x" &amp;DEC2HEX(ROUND(D33,0))</f>
        <v>,0x14</v>
      </c>
      <c r="G33" s="76">
        <f>B33*(1063)/255</f>
        <v>125.05882352941177</v>
      </c>
      <c r="H33" s="153" t="str">
        <f>"," &amp;ROUND(G33/10,0)</f>
        <v>,13</v>
      </c>
      <c r="J33" s="63">
        <v>7500</v>
      </c>
      <c r="K33" s="63">
        <v>29</v>
      </c>
      <c r="M33" s="73">
        <f t="shared" si="2"/>
        <v>0.28999999999999998</v>
      </c>
      <c r="O33" s="72">
        <f t="shared" si="3"/>
        <v>2.35</v>
      </c>
      <c r="Q33" s="73">
        <f t="shared" si="4"/>
        <v>-52.9</v>
      </c>
      <c r="R33" s="39" t="str">
        <f t="shared" si="5"/>
        <v>16</v>
      </c>
      <c r="T33" s="77">
        <f t="shared" si="6"/>
        <v>-11.2</v>
      </c>
      <c r="U33" s="155">
        <f t="shared" si="7"/>
        <v>28.8</v>
      </c>
      <c r="V33" s="39" t="str">
        <f t="shared" si="8"/>
        <v>,0x1C</v>
      </c>
      <c r="X33" s="77">
        <f t="shared" si="9"/>
        <v>-11.2</v>
      </c>
      <c r="Y33" s="155">
        <f t="shared" si="10"/>
        <v>28.8</v>
      </c>
      <c r="Z33" s="39" t="str">
        <f t="shared" si="11"/>
        <v>,0x1C</v>
      </c>
      <c r="AB33" s="73">
        <f t="shared" si="12"/>
        <v>-76</v>
      </c>
      <c r="AD33" s="157">
        <f t="shared" si="13"/>
        <v>0.06</v>
      </c>
      <c r="AE33" s="157">
        <f t="shared" si="14"/>
        <v>15.36</v>
      </c>
      <c r="AG33" s="63" t="str">
        <f t="shared" si="15"/>
        <v>1E</v>
      </c>
      <c r="AJ33" s="63" t="str">
        <f t="shared" si="16"/>
        <v>1E</v>
      </c>
      <c r="AM33" s="63" t="str">
        <f t="shared" si="17"/>
        <v>1E</v>
      </c>
      <c r="AP33" s="63" t="str">
        <f t="shared" si="18"/>
        <v>1E</v>
      </c>
      <c r="AS33" s="63" t="str">
        <f t="shared" si="19"/>
        <v>1E</v>
      </c>
    </row>
    <row r="34" spans="1:46">
      <c r="A34" s="35" t="str">
        <f t="shared" si="0"/>
        <v>,30</v>
      </c>
      <c r="B34" s="35">
        <v>31</v>
      </c>
      <c r="C34" s="35" t="str">
        <f t="shared" si="1"/>
        <v>1F</v>
      </c>
      <c r="D34" s="73">
        <f>ROUND(B34*((100-9.48)/255) +9.48,1)</f>
        <v>20.5</v>
      </c>
      <c r="E34" s="39" t="str">
        <f>",0x" &amp;DEC2HEX(ROUND(D34,0))</f>
        <v>,0x15</v>
      </c>
      <c r="G34" s="76">
        <f>B34*(1063)/255</f>
        <v>129.22745098039215</v>
      </c>
      <c r="H34" s="153" t="str">
        <f>"," &amp;ROUND(G34/10,0)</f>
        <v>,13</v>
      </c>
      <c r="J34" s="63">
        <v>7750</v>
      </c>
      <c r="K34" s="63">
        <v>30</v>
      </c>
      <c r="M34" s="73">
        <f t="shared" si="2"/>
        <v>0.3</v>
      </c>
      <c r="O34" s="72">
        <f t="shared" si="3"/>
        <v>2.4300000000000002</v>
      </c>
      <c r="Q34" s="73">
        <f t="shared" si="4"/>
        <v>-52.7</v>
      </c>
      <c r="R34" s="39" t="str">
        <f t="shared" si="5"/>
        <v>17</v>
      </c>
      <c r="T34" s="77">
        <f t="shared" si="6"/>
        <v>-10.5</v>
      </c>
      <c r="U34" s="155">
        <f t="shared" si="7"/>
        <v>29.5</v>
      </c>
      <c r="V34" s="39" t="str">
        <f t="shared" si="8"/>
        <v>,0x1D</v>
      </c>
      <c r="X34" s="77">
        <f t="shared" si="9"/>
        <v>-10.5</v>
      </c>
      <c r="Y34" s="155">
        <f t="shared" si="10"/>
        <v>29.5</v>
      </c>
      <c r="Z34" s="39" t="str">
        <f t="shared" si="11"/>
        <v>,0x1D</v>
      </c>
      <c r="AB34" s="73">
        <f t="shared" si="12"/>
        <v>-76</v>
      </c>
      <c r="AD34" s="157">
        <f t="shared" si="13"/>
        <v>6.2E-2</v>
      </c>
      <c r="AE34" s="157">
        <f t="shared" si="14"/>
        <v>15.872</v>
      </c>
      <c r="AG34" s="63" t="str">
        <f t="shared" si="15"/>
        <v>1F</v>
      </c>
      <c r="AJ34" s="63" t="str">
        <f t="shared" si="16"/>
        <v>1F</v>
      </c>
      <c r="AM34" s="63" t="str">
        <f t="shared" si="17"/>
        <v>1F</v>
      </c>
      <c r="AP34" s="63" t="str">
        <f t="shared" si="18"/>
        <v>1F</v>
      </c>
      <c r="AS34" s="63" t="str">
        <f t="shared" si="19"/>
        <v>1F</v>
      </c>
    </row>
    <row r="35" spans="1:46">
      <c r="A35" s="35" t="str">
        <f t="shared" si="0"/>
        <v>,31</v>
      </c>
      <c r="B35" s="35">
        <v>32</v>
      </c>
      <c r="C35" s="35" t="str">
        <f t="shared" si="1"/>
        <v>20</v>
      </c>
      <c r="D35" s="73">
        <f>ROUND(B35*((100-9.48)/255) +9.48,1)</f>
        <v>20.8</v>
      </c>
      <c r="E35" s="39" t="str">
        <f>",0x" &amp;DEC2HEX(ROUND(D35,0))</f>
        <v>,0x15</v>
      </c>
      <c r="G35" s="76">
        <f>B35*(1063)/255</f>
        <v>133.39607843137256</v>
      </c>
      <c r="H35" s="153" t="str">
        <f>"," &amp;ROUND(G35/10,0)</f>
        <v>,13</v>
      </c>
      <c r="J35" s="63">
        <v>8000</v>
      </c>
      <c r="K35" s="63">
        <v>31</v>
      </c>
      <c r="M35" s="73">
        <f t="shared" si="2"/>
        <v>0.31</v>
      </c>
      <c r="O35" s="72">
        <f t="shared" si="3"/>
        <v>2.5099999999999998</v>
      </c>
      <c r="Q35" s="73">
        <f t="shared" si="4"/>
        <v>-52.5</v>
      </c>
      <c r="R35" s="39" t="str">
        <f t="shared" si="5"/>
        <v>17</v>
      </c>
      <c r="T35" s="77">
        <f t="shared" si="6"/>
        <v>-9.9</v>
      </c>
      <c r="U35" s="155">
        <f t="shared" si="7"/>
        <v>30.1</v>
      </c>
      <c r="V35" s="39" t="str">
        <f t="shared" si="8"/>
        <v>,0x1E</v>
      </c>
      <c r="X35" s="77">
        <f t="shared" si="9"/>
        <v>-9.9</v>
      </c>
      <c r="Y35" s="155">
        <f t="shared" si="10"/>
        <v>30.1</v>
      </c>
      <c r="Z35" s="39" t="str">
        <f t="shared" si="11"/>
        <v>,0x1E</v>
      </c>
      <c r="AB35" s="73">
        <f t="shared" si="12"/>
        <v>-75</v>
      </c>
      <c r="AD35" s="157">
        <f t="shared" si="13"/>
        <v>6.4000000000000001E-2</v>
      </c>
      <c r="AE35" s="157">
        <f t="shared" si="14"/>
        <v>16.384</v>
      </c>
      <c r="AG35" s="63" t="str">
        <f t="shared" si="15"/>
        <v>20</v>
      </c>
      <c r="AJ35" s="63" t="str">
        <f t="shared" si="16"/>
        <v>20</v>
      </c>
      <c r="AK35" s="63" t="s">
        <v>393</v>
      </c>
      <c r="AM35" s="63" t="str">
        <f t="shared" si="17"/>
        <v>20</v>
      </c>
      <c r="AP35" s="63" t="str">
        <f t="shared" si="18"/>
        <v>20</v>
      </c>
      <c r="AQ35" s="63" t="s">
        <v>393</v>
      </c>
      <c r="AS35" s="63" t="str">
        <f t="shared" si="19"/>
        <v>20</v>
      </c>
      <c r="AT35" s="63" t="s">
        <v>366</v>
      </c>
    </row>
    <row r="36" spans="1:46">
      <c r="A36" s="35" t="str">
        <f t="shared" si="0"/>
        <v>,32</v>
      </c>
      <c r="B36" s="35">
        <v>33</v>
      </c>
      <c r="C36" s="35" t="str">
        <f t="shared" si="1"/>
        <v>21</v>
      </c>
      <c r="D36" s="73">
        <f>ROUND(B36*((100-9.48)/255) +9.48,1)</f>
        <v>21.2</v>
      </c>
      <c r="E36" s="39" t="str">
        <f>",0x" &amp;DEC2HEX(ROUND(D36,0))</f>
        <v>,0x15</v>
      </c>
      <c r="G36" s="76">
        <f>B36*(1063)/255</f>
        <v>137.56470588235294</v>
      </c>
      <c r="H36" s="153" t="str">
        <f>"," &amp;ROUND(G36/10,0)</f>
        <v>,14</v>
      </c>
      <c r="J36" s="63">
        <v>8250</v>
      </c>
      <c r="K36" s="63">
        <v>32</v>
      </c>
      <c r="M36" s="73">
        <f t="shared" si="2"/>
        <v>0.32</v>
      </c>
      <c r="O36" s="72">
        <f t="shared" si="3"/>
        <v>2.59</v>
      </c>
      <c r="Q36" s="73">
        <f t="shared" si="4"/>
        <v>-52.2</v>
      </c>
      <c r="R36" s="39" t="str">
        <f t="shared" si="5"/>
        <v>18</v>
      </c>
      <c r="T36" s="77">
        <f t="shared" si="6"/>
        <v>-9.3000000000000007</v>
      </c>
      <c r="U36" s="155">
        <f t="shared" si="7"/>
        <v>30.7</v>
      </c>
      <c r="V36" s="39" t="str">
        <f t="shared" si="8"/>
        <v>,0x1E</v>
      </c>
      <c r="X36" s="77">
        <f t="shared" si="9"/>
        <v>-9.3000000000000007</v>
      </c>
      <c r="Y36" s="155">
        <f t="shared" si="10"/>
        <v>30.7</v>
      </c>
      <c r="Z36" s="39" t="str">
        <f t="shared" si="11"/>
        <v>,0x1E</v>
      </c>
      <c r="AB36" s="73">
        <f t="shared" si="12"/>
        <v>-74</v>
      </c>
      <c r="AD36" s="157">
        <f t="shared" si="13"/>
        <v>6.6000000000000003E-2</v>
      </c>
      <c r="AE36" s="157">
        <f t="shared" si="14"/>
        <v>16.896000000000001</v>
      </c>
      <c r="AG36" s="63" t="str">
        <f t="shared" si="15"/>
        <v>21</v>
      </c>
      <c r="AJ36" s="63" t="str">
        <f t="shared" si="16"/>
        <v>21</v>
      </c>
      <c r="AM36" s="63" t="str">
        <f t="shared" si="17"/>
        <v>21</v>
      </c>
      <c r="AP36" s="63" t="str">
        <f t="shared" si="18"/>
        <v>21</v>
      </c>
      <c r="AS36" s="63" t="str">
        <f t="shared" si="19"/>
        <v>21</v>
      </c>
    </row>
    <row r="37" spans="1:46">
      <c r="A37" s="35" t="str">
        <f t="shared" si="0"/>
        <v>,33</v>
      </c>
      <c r="B37" s="35">
        <v>34</v>
      </c>
      <c r="C37" s="35" t="str">
        <f t="shared" si="1"/>
        <v>22</v>
      </c>
      <c r="D37" s="73">
        <f>ROUND(B37*((100-9.48)/255) +9.48,1)</f>
        <v>21.5</v>
      </c>
      <c r="E37" s="39" t="str">
        <f>",0x" &amp;DEC2HEX(ROUND(D37,0))</f>
        <v>,0x16</v>
      </c>
      <c r="G37" s="76">
        <f>B37*(1063)/255</f>
        <v>141.73333333333332</v>
      </c>
      <c r="H37" s="153" t="str">
        <f>"," &amp;ROUND(G37/10,0)</f>
        <v>,14</v>
      </c>
      <c r="J37" s="63">
        <v>8500</v>
      </c>
      <c r="K37" s="63">
        <v>33</v>
      </c>
      <c r="M37" s="73">
        <f t="shared" si="2"/>
        <v>0.33</v>
      </c>
      <c r="O37" s="72">
        <f t="shared" si="3"/>
        <v>2.67</v>
      </c>
      <c r="Q37" s="73">
        <f t="shared" si="4"/>
        <v>-52</v>
      </c>
      <c r="R37" s="39" t="str">
        <f t="shared" si="5"/>
        <v>18</v>
      </c>
      <c r="T37" s="77">
        <f t="shared" si="6"/>
        <v>-8.6999999999999993</v>
      </c>
      <c r="U37" s="155">
        <f t="shared" si="7"/>
        <v>31.3</v>
      </c>
      <c r="V37" s="39" t="str">
        <f t="shared" si="8"/>
        <v>,0x1F</v>
      </c>
      <c r="X37" s="77">
        <f t="shared" si="9"/>
        <v>-8.6999999999999993</v>
      </c>
      <c r="Y37" s="155">
        <f t="shared" si="10"/>
        <v>31.3</v>
      </c>
      <c r="Z37" s="39" t="str">
        <f t="shared" si="11"/>
        <v>,0x1F</v>
      </c>
      <c r="AB37" s="73">
        <f t="shared" si="12"/>
        <v>-73</v>
      </c>
      <c r="AD37" s="157">
        <f t="shared" si="13"/>
        <v>6.8000000000000005E-2</v>
      </c>
      <c r="AE37" s="157">
        <f t="shared" si="14"/>
        <v>17.408000000000001</v>
      </c>
      <c r="AG37" s="63" t="str">
        <f t="shared" si="15"/>
        <v>22</v>
      </c>
      <c r="AJ37" s="63" t="str">
        <f t="shared" si="16"/>
        <v>22</v>
      </c>
      <c r="AM37" s="63" t="str">
        <f t="shared" si="17"/>
        <v>22</v>
      </c>
      <c r="AP37" s="63" t="str">
        <f t="shared" si="18"/>
        <v>22</v>
      </c>
      <c r="AS37" s="63" t="str">
        <f t="shared" si="19"/>
        <v>22</v>
      </c>
    </row>
    <row r="38" spans="1:46">
      <c r="A38" s="35" t="str">
        <f t="shared" si="0"/>
        <v>,34</v>
      </c>
      <c r="B38" s="35">
        <v>35</v>
      </c>
      <c r="C38" s="35" t="str">
        <f t="shared" si="1"/>
        <v>23</v>
      </c>
      <c r="D38" s="73">
        <f>ROUND(B38*((100-9.48)/255) +9.48,1)</f>
        <v>21.9</v>
      </c>
      <c r="E38" s="39" t="str">
        <f>",0x" &amp;DEC2HEX(ROUND(D38,0))</f>
        <v>,0x16</v>
      </c>
      <c r="G38" s="76">
        <f>B38*(1063)/255</f>
        <v>145.90196078431373</v>
      </c>
      <c r="H38" s="153" t="str">
        <f>"," &amp;ROUND(G38/10,0)</f>
        <v>,15</v>
      </c>
      <c r="J38" s="63">
        <v>8750</v>
      </c>
      <c r="K38" s="63">
        <v>34</v>
      </c>
      <c r="M38" s="73">
        <f t="shared" si="2"/>
        <v>0.34</v>
      </c>
      <c r="O38" s="72">
        <f t="shared" si="3"/>
        <v>2.75</v>
      </c>
      <c r="Q38" s="73">
        <f t="shared" si="4"/>
        <v>-51.8</v>
      </c>
      <c r="R38" s="39" t="str">
        <f t="shared" si="5"/>
        <v>18</v>
      </c>
      <c r="T38" s="77">
        <f t="shared" si="6"/>
        <v>-8</v>
      </c>
      <c r="U38" s="155">
        <f t="shared" si="7"/>
        <v>32</v>
      </c>
      <c r="V38" s="39" t="str">
        <f t="shared" si="8"/>
        <v>,0x20</v>
      </c>
      <c r="X38" s="77">
        <f t="shared" si="9"/>
        <v>-8</v>
      </c>
      <c r="Y38" s="155">
        <f t="shared" si="10"/>
        <v>32</v>
      </c>
      <c r="Z38" s="39" t="str">
        <f t="shared" si="11"/>
        <v>,0x20</v>
      </c>
      <c r="AB38" s="73">
        <f t="shared" si="12"/>
        <v>-73</v>
      </c>
      <c r="AD38" s="157">
        <f t="shared" si="13"/>
        <v>7.0000000000000007E-2</v>
      </c>
      <c r="AE38" s="157">
        <f t="shared" si="14"/>
        <v>17.920000000000002</v>
      </c>
      <c r="AG38" s="63" t="str">
        <f t="shared" si="15"/>
        <v>23</v>
      </c>
      <c r="AJ38" s="63" t="str">
        <f t="shared" si="16"/>
        <v>23</v>
      </c>
      <c r="AM38" s="63" t="str">
        <f t="shared" si="17"/>
        <v>23</v>
      </c>
      <c r="AP38" s="63" t="str">
        <f t="shared" si="18"/>
        <v>23</v>
      </c>
      <c r="AS38" s="63" t="str">
        <f t="shared" si="19"/>
        <v>23</v>
      </c>
    </row>
    <row r="39" spans="1:46">
      <c r="A39" s="35" t="str">
        <f t="shared" si="0"/>
        <v>,35</v>
      </c>
      <c r="B39" s="35">
        <v>36</v>
      </c>
      <c r="C39" s="35" t="str">
        <f t="shared" si="1"/>
        <v>24</v>
      </c>
      <c r="D39" s="73">
        <f>ROUND(B39*((100-9.48)/255) +9.48,1)</f>
        <v>22.3</v>
      </c>
      <c r="E39" s="39" t="str">
        <f>",0x" &amp;DEC2HEX(ROUND(D39,0))</f>
        <v>,0x16</v>
      </c>
      <c r="G39" s="76">
        <f>B39*(1063)/255</f>
        <v>150.07058823529411</v>
      </c>
      <c r="H39" s="153" t="str">
        <f>"," &amp;ROUND(G39/10,0)</f>
        <v>,15</v>
      </c>
      <c r="J39" s="63">
        <v>9000</v>
      </c>
      <c r="K39" s="63">
        <v>35</v>
      </c>
      <c r="M39" s="73">
        <f t="shared" si="2"/>
        <v>0.35</v>
      </c>
      <c r="O39" s="72">
        <f t="shared" si="3"/>
        <v>2.82</v>
      </c>
      <c r="Q39" s="73">
        <f t="shared" si="4"/>
        <v>-51.5</v>
      </c>
      <c r="R39" s="39" t="str">
        <f t="shared" si="5"/>
        <v>19</v>
      </c>
      <c r="T39" s="77">
        <f t="shared" si="6"/>
        <v>-7.4</v>
      </c>
      <c r="U39" s="155">
        <f t="shared" si="7"/>
        <v>32.6</v>
      </c>
      <c r="V39" s="39" t="str">
        <f t="shared" si="8"/>
        <v>,0x20</v>
      </c>
      <c r="X39" s="77">
        <f t="shared" si="9"/>
        <v>-7.4</v>
      </c>
      <c r="Y39" s="155">
        <f t="shared" si="10"/>
        <v>32.6</v>
      </c>
      <c r="Z39" s="39" t="str">
        <f t="shared" si="11"/>
        <v>,0x20</v>
      </c>
      <c r="AB39" s="73">
        <f t="shared" si="12"/>
        <v>-72</v>
      </c>
      <c r="AD39" s="157">
        <f t="shared" si="13"/>
        <v>7.1999999999999995E-2</v>
      </c>
      <c r="AE39" s="157">
        <f t="shared" si="14"/>
        <v>18.431999999999999</v>
      </c>
      <c r="AG39" s="63" t="str">
        <f t="shared" si="15"/>
        <v>24</v>
      </c>
      <c r="AJ39" s="63" t="str">
        <f t="shared" si="16"/>
        <v>24</v>
      </c>
      <c r="AM39" s="63" t="str">
        <f t="shared" si="17"/>
        <v>24</v>
      </c>
      <c r="AP39" s="63" t="str">
        <f t="shared" si="18"/>
        <v>24</v>
      </c>
      <c r="AS39" s="63" t="str">
        <f t="shared" si="19"/>
        <v>24</v>
      </c>
    </row>
    <row r="40" spans="1:46">
      <c r="A40" s="35" t="str">
        <f t="shared" si="0"/>
        <v>,36</v>
      </c>
      <c r="B40" s="35">
        <v>37</v>
      </c>
      <c r="C40" s="35" t="str">
        <f t="shared" si="1"/>
        <v>25</v>
      </c>
      <c r="D40" s="73">
        <f>ROUND(B40*((100-9.48)/255) +9.48,1)</f>
        <v>22.6</v>
      </c>
      <c r="E40" s="39" t="str">
        <f>",0x" &amp;DEC2HEX(ROUND(D40,0))</f>
        <v>,0x17</v>
      </c>
      <c r="G40" s="76">
        <f>B40*(1063)/255</f>
        <v>154.23921568627452</v>
      </c>
      <c r="H40" s="153" t="str">
        <f>"," &amp;ROUND(G40/10,0)</f>
        <v>,15</v>
      </c>
      <c r="K40" s="63">
        <v>36</v>
      </c>
      <c r="M40" s="73">
        <f t="shared" si="2"/>
        <v>0.36</v>
      </c>
      <c r="O40" s="72">
        <f t="shared" si="3"/>
        <v>2.9</v>
      </c>
      <c r="Q40" s="73">
        <f t="shared" si="4"/>
        <v>-51.3</v>
      </c>
      <c r="R40" s="39" t="str">
        <f t="shared" si="5"/>
        <v>19</v>
      </c>
      <c r="T40" s="77">
        <f t="shared" si="6"/>
        <v>-6.8</v>
      </c>
      <c r="U40" s="155">
        <f t="shared" si="7"/>
        <v>33.200000000000003</v>
      </c>
      <c r="V40" s="39" t="str">
        <f t="shared" si="8"/>
        <v>,0x21</v>
      </c>
      <c r="X40" s="77">
        <f t="shared" si="9"/>
        <v>-6.8</v>
      </c>
      <c r="Y40" s="155">
        <f t="shared" si="10"/>
        <v>33.200000000000003</v>
      </c>
      <c r="Z40" s="39" t="str">
        <f t="shared" si="11"/>
        <v>,0x21</v>
      </c>
      <c r="AB40" s="73">
        <f t="shared" si="12"/>
        <v>-71</v>
      </c>
      <c r="AD40" s="157">
        <f t="shared" si="13"/>
        <v>7.3999999999999996E-2</v>
      </c>
      <c r="AE40" s="157">
        <f t="shared" si="14"/>
        <v>18.943999999999999</v>
      </c>
      <c r="AG40" s="63" t="str">
        <f t="shared" si="15"/>
        <v>25</v>
      </c>
      <c r="AJ40" s="63" t="str">
        <f t="shared" si="16"/>
        <v>25</v>
      </c>
      <c r="AM40" s="63" t="str">
        <f t="shared" si="17"/>
        <v>25</v>
      </c>
      <c r="AP40" s="63" t="str">
        <f t="shared" si="18"/>
        <v>25</v>
      </c>
      <c r="AS40" s="63" t="str">
        <f t="shared" si="19"/>
        <v>25</v>
      </c>
    </row>
    <row r="41" spans="1:46">
      <c r="A41" s="35" t="str">
        <f t="shared" si="0"/>
        <v>,37</v>
      </c>
      <c r="B41" s="35">
        <v>38</v>
      </c>
      <c r="C41" s="35" t="str">
        <f t="shared" si="1"/>
        <v>26</v>
      </c>
      <c r="D41" s="73">
        <f>ROUND(B41*((100-9.48)/255) +9.48,1)</f>
        <v>23</v>
      </c>
      <c r="E41" s="39" t="str">
        <f>",0x" &amp;DEC2HEX(ROUND(D41,0))</f>
        <v>,0x17</v>
      </c>
      <c r="G41" s="76">
        <f>B41*(1063)/255</f>
        <v>158.4078431372549</v>
      </c>
      <c r="H41" s="153" t="str">
        <f>"," &amp;ROUND(G41/10,0)</f>
        <v>,16</v>
      </c>
      <c r="K41" s="63">
        <v>37</v>
      </c>
      <c r="M41" s="73">
        <f t="shared" si="2"/>
        <v>0.37</v>
      </c>
      <c r="O41" s="72">
        <f t="shared" si="3"/>
        <v>2.98</v>
      </c>
      <c r="Q41" s="73">
        <f t="shared" si="4"/>
        <v>-51.1</v>
      </c>
      <c r="R41" s="39" t="str">
        <f t="shared" si="5"/>
        <v>1A</v>
      </c>
      <c r="T41" s="77">
        <f t="shared" si="6"/>
        <v>-6.2</v>
      </c>
      <c r="U41" s="155">
        <f t="shared" si="7"/>
        <v>33.799999999999997</v>
      </c>
      <c r="V41" s="39" t="str">
        <f t="shared" si="8"/>
        <v>,0x21</v>
      </c>
      <c r="X41" s="77">
        <f t="shared" si="9"/>
        <v>-6.2</v>
      </c>
      <c r="Y41" s="155">
        <f t="shared" si="10"/>
        <v>33.799999999999997</v>
      </c>
      <c r="Z41" s="39" t="str">
        <f t="shared" si="11"/>
        <v>,0x21</v>
      </c>
      <c r="AB41" s="73">
        <f t="shared" si="12"/>
        <v>-70</v>
      </c>
      <c r="AD41" s="157">
        <f t="shared" si="13"/>
        <v>7.5999999999999998E-2</v>
      </c>
      <c r="AE41" s="157">
        <f t="shared" si="14"/>
        <v>19.456</v>
      </c>
      <c r="AG41" s="63" t="str">
        <f t="shared" si="15"/>
        <v>26</v>
      </c>
      <c r="AJ41" s="63" t="str">
        <f t="shared" si="16"/>
        <v>26</v>
      </c>
      <c r="AM41" s="63" t="str">
        <f t="shared" si="17"/>
        <v>26</v>
      </c>
      <c r="AP41" s="63" t="str">
        <f t="shared" si="18"/>
        <v>26</v>
      </c>
      <c r="AS41" s="63" t="str">
        <f t="shared" si="19"/>
        <v>26</v>
      </c>
    </row>
    <row r="42" spans="1:46">
      <c r="A42" s="35" t="str">
        <f t="shared" si="0"/>
        <v>,38</v>
      </c>
      <c r="B42" s="35">
        <v>39</v>
      </c>
      <c r="C42" s="35" t="str">
        <f t="shared" si="1"/>
        <v>27</v>
      </c>
      <c r="D42" s="73">
        <f>ROUND(B42*((100-9.48)/255) +9.48,1)</f>
        <v>23.3</v>
      </c>
      <c r="E42" s="39" t="str">
        <f>",0x" &amp;DEC2HEX(ROUND(D42,0))</f>
        <v>,0x17</v>
      </c>
      <c r="G42" s="76">
        <f>B42*(1063)/255</f>
        <v>162.57647058823528</v>
      </c>
      <c r="H42" s="153" t="str">
        <f>"," &amp;ROUND(G42/10,0)</f>
        <v>,16</v>
      </c>
      <c r="K42" s="63">
        <v>38</v>
      </c>
      <c r="M42" s="73">
        <f t="shared" si="2"/>
        <v>0.38</v>
      </c>
      <c r="O42" s="72">
        <f t="shared" si="3"/>
        <v>3.06</v>
      </c>
      <c r="Q42" s="73">
        <f t="shared" si="4"/>
        <v>-50.8</v>
      </c>
      <c r="R42" s="39" t="str">
        <f t="shared" si="5"/>
        <v>1A</v>
      </c>
      <c r="T42" s="77">
        <f t="shared" si="6"/>
        <v>-5.5</v>
      </c>
      <c r="U42" s="155">
        <f t="shared" si="7"/>
        <v>34.5</v>
      </c>
      <c r="V42" s="39" t="str">
        <f t="shared" si="8"/>
        <v>,0x22</v>
      </c>
      <c r="X42" s="77">
        <f t="shared" si="9"/>
        <v>-5.5</v>
      </c>
      <c r="Y42" s="155">
        <f t="shared" si="10"/>
        <v>34.5</v>
      </c>
      <c r="Z42" s="39" t="str">
        <f t="shared" si="11"/>
        <v>,0x22</v>
      </c>
      <c r="AB42" s="73">
        <f t="shared" si="12"/>
        <v>-69</v>
      </c>
      <c r="AD42" s="157">
        <f t="shared" si="13"/>
        <v>7.8E-2</v>
      </c>
      <c r="AE42" s="157">
        <f t="shared" si="14"/>
        <v>19.968</v>
      </c>
      <c r="AG42" s="63" t="str">
        <f t="shared" si="15"/>
        <v>27</v>
      </c>
      <c r="AJ42" s="63" t="str">
        <f t="shared" si="16"/>
        <v>27</v>
      </c>
      <c r="AM42" s="63" t="str">
        <f t="shared" si="17"/>
        <v>27</v>
      </c>
      <c r="AP42" s="63" t="str">
        <f t="shared" si="18"/>
        <v>27</v>
      </c>
      <c r="AS42" s="63" t="str">
        <f t="shared" si="19"/>
        <v>27</v>
      </c>
    </row>
    <row r="43" spans="1:46">
      <c r="A43" s="35" t="str">
        <f t="shared" si="0"/>
        <v>,39</v>
      </c>
      <c r="B43" s="35">
        <v>40</v>
      </c>
      <c r="C43" s="35" t="str">
        <f t="shared" si="1"/>
        <v>28</v>
      </c>
      <c r="D43" s="73">
        <f>ROUND(B43*((100-9.48)/255) +9.48,1)</f>
        <v>23.7</v>
      </c>
      <c r="E43" s="39" t="str">
        <f>",0x" &amp;DEC2HEX(ROUND(D43,0))</f>
        <v>,0x18</v>
      </c>
      <c r="G43" s="76">
        <f>B43*(1063)/255</f>
        <v>166.74509803921569</v>
      </c>
      <c r="H43" s="153" t="str">
        <f>"," &amp;ROUND(G43/10,0)</f>
        <v>,17</v>
      </c>
      <c r="K43" s="63">
        <v>39</v>
      </c>
      <c r="M43" s="73">
        <f t="shared" si="2"/>
        <v>0.39</v>
      </c>
      <c r="O43" s="72">
        <f t="shared" si="3"/>
        <v>3.14</v>
      </c>
      <c r="Q43" s="73">
        <f t="shared" si="4"/>
        <v>-50.6</v>
      </c>
      <c r="R43" s="39" t="str">
        <f t="shared" si="5"/>
        <v>1B</v>
      </c>
      <c r="T43" s="77">
        <f t="shared" si="6"/>
        <v>-4.9000000000000004</v>
      </c>
      <c r="U43" s="155">
        <f t="shared" si="7"/>
        <v>35.1</v>
      </c>
      <c r="V43" s="39" t="str">
        <f t="shared" si="8"/>
        <v>,0x23</v>
      </c>
      <c r="X43" s="77">
        <f t="shared" si="9"/>
        <v>-4.9000000000000004</v>
      </c>
      <c r="Y43" s="155">
        <f t="shared" si="10"/>
        <v>35.1</v>
      </c>
      <c r="Z43" s="39" t="str">
        <f t="shared" si="11"/>
        <v>,0x23</v>
      </c>
      <c r="AB43" s="73">
        <f t="shared" si="12"/>
        <v>-69</v>
      </c>
      <c r="AD43" s="157">
        <f t="shared" si="13"/>
        <v>0.08</v>
      </c>
      <c r="AE43" s="157">
        <f t="shared" si="14"/>
        <v>20.48</v>
      </c>
      <c r="AG43" s="63" t="str">
        <f t="shared" si="15"/>
        <v>28</v>
      </c>
      <c r="AJ43" s="63" t="str">
        <f t="shared" si="16"/>
        <v>28</v>
      </c>
      <c r="AM43" s="63" t="str">
        <f t="shared" si="17"/>
        <v>28</v>
      </c>
      <c r="AP43" s="63" t="str">
        <f t="shared" si="18"/>
        <v>28</v>
      </c>
      <c r="AS43" s="63" t="str">
        <f t="shared" si="19"/>
        <v>28</v>
      </c>
    </row>
    <row r="44" spans="1:46">
      <c r="A44" s="35" t="str">
        <f t="shared" si="0"/>
        <v>,40</v>
      </c>
      <c r="B44" s="35">
        <v>41</v>
      </c>
      <c r="C44" s="35" t="str">
        <f t="shared" si="1"/>
        <v>29</v>
      </c>
      <c r="D44" s="73">
        <f>ROUND(B44*((100-9.48)/255) +9.48,1)</f>
        <v>24</v>
      </c>
      <c r="E44" s="39" t="str">
        <f>",0x" &amp;DEC2HEX(ROUND(D44,0))</f>
        <v>,0x18</v>
      </c>
      <c r="G44" s="76">
        <f>B44*(1063)/255</f>
        <v>170.91372549019607</v>
      </c>
      <c r="H44" s="153" t="str">
        <f>"," &amp;ROUND(G44/10,0)</f>
        <v>,17</v>
      </c>
      <c r="K44" s="63">
        <v>40</v>
      </c>
      <c r="M44" s="73">
        <f t="shared" si="2"/>
        <v>0.4</v>
      </c>
      <c r="O44" s="72">
        <f t="shared" si="3"/>
        <v>3.22</v>
      </c>
      <c r="Q44" s="73">
        <f t="shared" si="4"/>
        <v>-50.4</v>
      </c>
      <c r="R44" s="39" t="str">
        <f t="shared" si="5"/>
        <v>1B</v>
      </c>
      <c r="T44" s="77">
        <f t="shared" si="6"/>
        <v>-4.3</v>
      </c>
      <c r="U44" s="155">
        <f t="shared" si="7"/>
        <v>35.700000000000003</v>
      </c>
      <c r="V44" s="39" t="str">
        <f t="shared" si="8"/>
        <v>,0x23</v>
      </c>
      <c r="X44" s="77">
        <f t="shared" si="9"/>
        <v>-4.3</v>
      </c>
      <c r="Y44" s="155">
        <f t="shared" si="10"/>
        <v>35.700000000000003</v>
      </c>
      <c r="Z44" s="39" t="str">
        <f t="shared" si="11"/>
        <v>,0x23</v>
      </c>
      <c r="AB44" s="73">
        <f t="shared" si="12"/>
        <v>-68</v>
      </c>
      <c r="AD44" s="157">
        <f t="shared" si="13"/>
        <v>8.2000000000000003E-2</v>
      </c>
      <c r="AE44" s="157">
        <f t="shared" si="14"/>
        <v>20.992000000000001</v>
      </c>
      <c r="AG44" s="63" t="str">
        <f t="shared" si="15"/>
        <v>29</v>
      </c>
      <c r="AJ44" s="63" t="str">
        <f t="shared" si="16"/>
        <v>29</v>
      </c>
      <c r="AM44" s="63" t="str">
        <f t="shared" si="17"/>
        <v>29</v>
      </c>
      <c r="AP44" s="63" t="str">
        <f t="shared" si="18"/>
        <v>29</v>
      </c>
      <c r="AS44" s="63" t="str">
        <f t="shared" si="19"/>
        <v>29</v>
      </c>
    </row>
    <row r="45" spans="1:46">
      <c r="A45" s="35" t="str">
        <f t="shared" si="0"/>
        <v>,41</v>
      </c>
      <c r="B45" s="35">
        <v>42</v>
      </c>
      <c r="C45" s="35" t="str">
        <f t="shared" si="1"/>
        <v>2A</v>
      </c>
      <c r="D45" s="73">
        <f>ROUND(B45*((100-9.48)/255) +9.48,1)</f>
        <v>24.4</v>
      </c>
      <c r="E45" s="39" t="str">
        <f>",0x" &amp;DEC2HEX(ROUND(D45,0))</f>
        <v>,0x18</v>
      </c>
      <c r="G45" s="76">
        <f>B45*(1063)/255</f>
        <v>175.08235294117648</v>
      </c>
      <c r="H45" s="153" t="str">
        <f>"," &amp;ROUND(G45/10,0)</f>
        <v>,18</v>
      </c>
      <c r="K45" s="63">
        <v>41</v>
      </c>
      <c r="M45" s="73">
        <f t="shared" si="2"/>
        <v>0.41</v>
      </c>
      <c r="O45" s="72">
        <f t="shared" si="3"/>
        <v>3.29</v>
      </c>
      <c r="Q45" s="73">
        <f t="shared" si="4"/>
        <v>-50.1</v>
      </c>
      <c r="R45" s="39" t="str">
        <f t="shared" si="5"/>
        <v>1C</v>
      </c>
      <c r="T45" s="77">
        <f t="shared" si="6"/>
        <v>-3.6</v>
      </c>
      <c r="U45" s="155">
        <f t="shared" si="7"/>
        <v>36.4</v>
      </c>
      <c r="V45" s="39" t="str">
        <f t="shared" si="8"/>
        <v>,0x24</v>
      </c>
      <c r="X45" s="77">
        <f t="shared" si="9"/>
        <v>-3.6</v>
      </c>
      <c r="Y45" s="155">
        <f t="shared" si="10"/>
        <v>36.4</v>
      </c>
      <c r="Z45" s="39" t="str">
        <f t="shared" si="11"/>
        <v>,0x24</v>
      </c>
      <c r="AB45" s="73">
        <f t="shared" si="12"/>
        <v>-67</v>
      </c>
      <c r="AD45" s="157">
        <f t="shared" si="13"/>
        <v>8.4000000000000005E-2</v>
      </c>
      <c r="AE45" s="157">
        <f t="shared" si="14"/>
        <v>21.504000000000001</v>
      </c>
      <c r="AG45" s="63" t="str">
        <f t="shared" si="15"/>
        <v>2A</v>
      </c>
      <c r="AJ45" s="63" t="str">
        <f t="shared" si="16"/>
        <v>2A</v>
      </c>
      <c r="AM45" s="63" t="str">
        <f t="shared" si="17"/>
        <v>2A</v>
      </c>
      <c r="AP45" s="63" t="str">
        <f t="shared" si="18"/>
        <v>2A</v>
      </c>
      <c r="AS45" s="63" t="str">
        <f t="shared" si="19"/>
        <v>2A</v>
      </c>
    </row>
    <row r="46" spans="1:46">
      <c r="A46" s="35" t="str">
        <f t="shared" si="0"/>
        <v>,42</v>
      </c>
      <c r="B46" s="35">
        <v>43</v>
      </c>
      <c r="C46" s="35" t="str">
        <f t="shared" si="1"/>
        <v>2B</v>
      </c>
      <c r="D46" s="73">
        <f>ROUND(B46*((100-9.48)/255) +9.48,1)</f>
        <v>24.7</v>
      </c>
      <c r="E46" s="39" t="str">
        <f>",0x" &amp;DEC2HEX(ROUND(D46,0))</f>
        <v>,0x19</v>
      </c>
      <c r="G46" s="76">
        <f>B46*(1063)/255</f>
        <v>179.25098039215686</v>
      </c>
      <c r="H46" s="153" t="str">
        <f>"," &amp;ROUND(G46/10,0)</f>
        <v>,18</v>
      </c>
      <c r="K46" s="63">
        <v>42</v>
      </c>
      <c r="M46" s="73">
        <f t="shared" si="2"/>
        <v>0.42</v>
      </c>
      <c r="O46" s="72">
        <f t="shared" si="3"/>
        <v>3.37</v>
      </c>
      <c r="Q46" s="73">
        <f t="shared" si="4"/>
        <v>-49.9</v>
      </c>
      <c r="R46" s="39" t="str">
        <f t="shared" si="5"/>
        <v>1C</v>
      </c>
      <c r="T46" s="77">
        <f t="shared" si="6"/>
        <v>-3</v>
      </c>
      <c r="U46" s="155">
        <f t="shared" si="7"/>
        <v>37</v>
      </c>
      <c r="V46" s="39" t="str">
        <f t="shared" si="8"/>
        <v>,0x25</v>
      </c>
      <c r="X46" s="77">
        <f t="shared" si="9"/>
        <v>-3</v>
      </c>
      <c r="Y46" s="155">
        <f t="shared" si="10"/>
        <v>37</v>
      </c>
      <c r="Z46" s="39" t="str">
        <f t="shared" si="11"/>
        <v>,0x25</v>
      </c>
      <c r="AB46" s="73">
        <f t="shared" si="12"/>
        <v>-66</v>
      </c>
      <c r="AD46" s="157">
        <f t="shared" si="13"/>
        <v>8.5999999999999993E-2</v>
      </c>
      <c r="AE46" s="157">
        <f t="shared" si="14"/>
        <v>22.015999999999998</v>
      </c>
      <c r="AG46" s="63" t="str">
        <f t="shared" si="15"/>
        <v>2B</v>
      </c>
      <c r="AJ46" s="63" t="str">
        <f t="shared" si="16"/>
        <v>2B</v>
      </c>
      <c r="AM46" s="63" t="str">
        <f t="shared" si="17"/>
        <v>2B</v>
      </c>
      <c r="AP46" s="63" t="str">
        <f t="shared" si="18"/>
        <v>2B</v>
      </c>
      <c r="AS46" s="63" t="str">
        <f t="shared" si="19"/>
        <v>2B</v>
      </c>
    </row>
    <row r="47" spans="1:46">
      <c r="A47" s="35" t="str">
        <f t="shared" si="0"/>
        <v>,43</v>
      </c>
      <c r="B47" s="35">
        <v>44</v>
      </c>
      <c r="C47" s="35" t="str">
        <f t="shared" si="1"/>
        <v>2C</v>
      </c>
      <c r="D47" s="73">
        <f>ROUND(B47*((100-9.48)/255) +9.48,1)</f>
        <v>25.1</v>
      </c>
      <c r="E47" s="39" t="str">
        <f>",0x" &amp;DEC2HEX(ROUND(D47,0))</f>
        <v>,0x19</v>
      </c>
      <c r="G47" s="76">
        <f>B47*(1063)/255</f>
        <v>183.41960784313724</v>
      </c>
      <c r="H47" s="153" t="str">
        <f>"," &amp;ROUND(G47/10,0)</f>
        <v>,18</v>
      </c>
      <c r="K47" s="63">
        <v>43</v>
      </c>
      <c r="M47" s="73">
        <f t="shared" si="2"/>
        <v>0.43</v>
      </c>
      <c r="O47" s="72">
        <f t="shared" si="3"/>
        <v>3.45</v>
      </c>
      <c r="Q47" s="73">
        <f t="shared" si="4"/>
        <v>-49.6</v>
      </c>
      <c r="R47" s="39" t="str">
        <f t="shared" si="5"/>
        <v>1D</v>
      </c>
      <c r="T47" s="77">
        <f t="shared" si="6"/>
        <v>-2.4</v>
      </c>
      <c r="U47" s="155">
        <f t="shared" si="7"/>
        <v>37.6</v>
      </c>
      <c r="V47" s="39" t="str">
        <f t="shared" si="8"/>
        <v>,0x25</v>
      </c>
      <c r="X47" s="77">
        <f t="shared" si="9"/>
        <v>-2.4</v>
      </c>
      <c r="Y47" s="155">
        <f t="shared" si="10"/>
        <v>37.6</v>
      </c>
      <c r="Z47" s="39" t="str">
        <f t="shared" si="11"/>
        <v>,0x25</v>
      </c>
      <c r="AB47" s="73">
        <f t="shared" si="12"/>
        <v>-65</v>
      </c>
      <c r="AD47" s="157">
        <f t="shared" si="13"/>
        <v>8.7999999999999995E-2</v>
      </c>
      <c r="AE47" s="157">
        <f t="shared" si="14"/>
        <v>22.527999999999999</v>
      </c>
      <c r="AG47" s="63" t="str">
        <f t="shared" si="15"/>
        <v>2C</v>
      </c>
      <c r="AJ47" s="63" t="str">
        <f t="shared" si="16"/>
        <v>2C</v>
      </c>
      <c r="AM47" s="63" t="str">
        <f t="shared" si="17"/>
        <v>2C</v>
      </c>
      <c r="AP47" s="63" t="str">
        <f t="shared" si="18"/>
        <v>2C</v>
      </c>
      <c r="AS47" s="63" t="str">
        <f t="shared" si="19"/>
        <v>2C</v>
      </c>
    </row>
    <row r="48" spans="1:46">
      <c r="A48" s="35" t="str">
        <f t="shared" si="0"/>
        <v>,44</v>
      </c>
      <c r="B48" s="35">
        <v>45</v>
      </c>
      <c r="C48" s="35" t="str">
        <f t="shared" si="1"/>
        <v>2D</v>
      </c>
      <c r="D48" s="73">
        <f>ROUND(B48*((100-9.48)/255) +9.48,1)</f>
        <v>25.5</v>
      </c>
      <c r="E48" s="39" t="str">
        <f>",0x" &amp;DEC2HEX(ROUND(D48,0))</f>
        <v>,0x1A</v>
      </c>
      <c r="G48" s="76">
        <f>B48*(1063)/255</f>
        <v>187.58823529411765</v>
      </c>
      <c r="H48" s="153" t="str">
        <f>"," &amp;ROUND(G48/10,0)</f>
        <v>,19</v>
      </c>
      <c r="K48" s="63">
        <v>44</v>
      </c>
      <c r="M48" s="73">
        <f t="shared" si="2"/>
        <v>0.44</v>
      </c>
      <c r="O48" s="72">
        <f t="shared" si="3"/>
        <v>3.53</v>
      </c>
      <c r="Q48" s="73">
        <f t="shared" si="4"/>
        <v>-49.4</v>
      </c>
      <c r="R48" s="39" t="str">
        <f t="shared" si="5"/>
        <v>1D</v>
      </c>
      <c r="T48" s="77">
        <f t="shared" si="6"/>
        <v>-1.8</v>
      </c>
      <c r="U48" s="155">
        <f t="shared" si="7"/>
        <v>38.200000000000003</v>
      </c>
      <c r="V48" s="39" t="str">
        <f t="shared" si="8"/>
        <v>,0x26</v>
      </c>
      <c r="X48" s="77">
        <f t="shared" si="9"/>
        <v>-1.8</v>
      </c>
      <c r="Y48" s="155">
        <f t="shared" si="10"/>
        <v>38.200000000000003</v>
      </c>
      <c r="Z48" s="39" t="str">
        <f t="shared" si="11"/>
        <v>,0x26</v>
      </c>
      <c r="AB48" s="73">
        <f t="shared" si="12"/>
        <v>-65</v>
      </c>
      <c r="AD48" s="157">
        <f t="shared" si="13"/>
        <v>0.09</v>
      </c>
      <c r="AE48" s="157">
        <f t="shared" si="14"/>
        <v>23.04</v>
      </c>
      <c r="AG48" s="63" t="str">
        <f t="shared" si="15"/>
        <v>2D</v>
      </c>
      <c r="AJ48" s="63" t="str">
        <f t="shared" si="16"/>
        <v>2D</v>
      </c>
      <c r="AM48" s="63" t="str">
        <f t="shared" si="17"/>
        <v>2D</v>
      </c>
      <c r="AP48" s="63" t="str">
        <f t="shared" si="18"/>
        <v>2D</v>
      </c>
      <c r="AS48" s="63" t="str">
        <f t="shared" si="19"/>
        <v>2D</v>
      </c>
    </row>
    <row r="49" spans="1:45">
      <c r="A49" s="35" t="str">
        <f t="shared" si="0"/>
        <v>,45</v>
      </c>
      <c r="B49" s="35">
        <v>46</v>
      </c>
      <c r="C49" s="35" t="str">
        <f t="shared" si="1"/>
        <v>2E</v>
      </c>
      <c r="D49" s="73">
        <f>ROUND(B49*((100-9.48)/255) +9.48,1)</f>
        <v>25.8</v>
      </c>
      <c r="E49" s="39" t="str">
        <f>",0x" &amp;DEC2HEX(ROUND(D49,0))</f>
        <v>,0x1A</v>
      </c>
      <c r="G49" s="76">
        <f>B49*(1063)/255</f>
        <v>191.75686274509803</v>
      </c>
      <c r="H49" s="153" t="str">
        <f>"," &amp;ROUND(G49/10,0)</f>
        <v>,19</v>
      </c>
      <c r="K49" s="63">
        <v>45</v>
      </c>
      <c r="M49" s="73">
        <f t="shared" si="2"/>
        <v>0.45</v>
      </c>
      <c r="O49" s="72">
        <f t="shared" si="3"/>
        <v>3.61</v>
      </c>
      <c r="Q49" s="73">
        <f t="shared" si="4"/>
        <v>-49.2</v>
      </c>
      <c r="R49" s="39" t="str">
        <f t="shared" si="5"/>
        <v>1E</v>
      </c>
      <c r="T49" s="77">
        <f t="shared" si="6"/>
        <v>-1.1000000000000001</v>
      </c>
      <c r="U49" s="155">
        <f t="shared" si="7"/>
        <v>38.9</v>
      </c>
      <c r="V49" s="39" t="str">
        <f t="shared" si="8"/>
        <v>,0x26</v>
      </c>
      <c r="X49" s="77">
        <f t="shared" si="9"/>
        <v>-1.1000000000000001</v>
      </c>
      <c r="Y49" s="155">
        <f t="shared" si="10"/>
        <v>38.9</v>
      </c>
      <c r="Z49" s="39" t="str">
        <f t="shared" si="11"/>
        <v>,0x26</v>
      </c>
      <c r="AB49" s="73">
        <f t="shared" si="12"/>
        <v>-64</v>
      </c>
      <c r="AD49" s="157">
        <f t="shared" si="13"/>
        <v>9.1999999999999998E-2</v>
      </c>
      <c r="AE49" s="157">
        <f t="shared" si="14"/>
        <v>23.552</v>
      </c>
      <c r="AG49" s="63" t="str">
        <f t="shared" si="15"/>
        <v>2E</v>
      </c>
      <c r="AJ49" s="63" t="str">
        <f t="shared" si="16"/>
        <v>2E</v>
      </c>
      <c r="AM49" s="63" t="str">
        <f t="shared" si="17"/>
        <v>2E</v>
      </c>
      <c r="AP49" s="63" t="str">
        <f t="shared" si="18"/>
        <v>2E</v>
      </c>
      <c r="AS49" s="63" t="str">
        <f t="shared" si="19"/>
        <v>2E</v>
      </c>
    </row>
    <row r="50" spans="1:45">
      <c r="A50" s="35" t="str">
        <f t="shared" si="0"/>
        <v>,46</v>
      </c>
      <c r="B50" s="35">
        <v>47</v>
      </c>
      <c r="C50" s="35" t="str">
        <f t="shared" si="1"/>
        <v>2F</v>
      </c>
      <c r="D50" s="73">
        <f>ROUND(B50*((100-9.48)/255) +9.48,1)</f>
        <v>26.2</v>
      </c>
      <c r="E50" s="39" t="str">
        <f>",0x" &amp;DEC2HEX(ROUND(D50,0))</f>
        <v>,0x1A</v>
      </c>
      <c r="G50" s="76">
        <f>B50*(1063)/255</f>
        <v>195.92549019607844</v>
      </c>
      <c r="H50" s="153" t="str">
        <f>"," &amp;ROUND(G50/10,0)</f>
        <v>,20</v>
      </c>
      <c r="K50" s="63">
        <v>46</v>
      </c>
      <c r="M50" s="73">
        <f t="shared" si="2"/>
        <v>0.46</v>
      </c>
      <c r="O50" s="72">
        <f t="shared" si="3"/>
        <v>3.69</v>
      </c>
      <c r="Q50" s="73">
        <f t="shared" si="4"/>
        <v>-48.9</v>
      </c>
      <c r="R50" s="39" t="str">
        <f t="shared" si="5"/>
        <v>1E</v>
      </c>
      <c r="T50" s="77">
        <f t="shared" si="6"/>
        <v>-0.5</v>
      </c>
      <c r="U50" s="155">
        <f t="shared" si="7"/>
        <v>39.5</v>
      </c>
      <c r="V50" s="39" t="str">
        <f t="shared" si="8"/>
        <v>,0x27</v>
      </c>
      <c r="X50" s="77">
        <f t="shared" si="9"/>
        <v>-0.5</v>
      </c>
      <c r="Y50" s="155">
        <f t="shared" si="10"/>
        <v>39.5</v>
      </c>
      <c r="Z50" s="39" t="str">
        <f t="shared" si="11"/>
        <v>,0x27</v>
      </c>
      <c r="AB50" s="73">
        <f t="shared" si="12"/>
        <v>-63</v>
      </c>
      <c r="AD50" s="157">
        <f t="shared" si="13"/>
        <v>9.4E-2</v>
      </c>
      <c r="AE50" s="157">
        <f t="shared" si="14"/>
        <v>24.064</v>
      </c>
      <c r="AG50" s="63" t="str">
        <f t="shared" si="15"/>
        <v>2F</v>
      </c>
      <c r="AJ50" s="63" t="str">
        <f t="shared" si="16"/>
        <v>2F</v>
      </c>
      <c r="AM50" s="63" t="str">
        <f t="shared" si="17"/>
        <v>2F</v>
      </c>
      <c r="AP50" s="63" t="str">
        <f t="shared" si="18"/>
        <v>2F</v>
      </c>
      <c r="AS50" s="63" t="str">
        <f t="shared" si="19"/>
        <v>2F</v>
      </c>
    </row>
    <row r="51" spans="1:45">
      <c r="A51" s="35" t="str">
        <f t="shared" si="0"/>
        <v>,47</v>
      </c>
      <c r="B51" s="35">
        <v>48</v>
      </c>
      <c r="C51" s="35" t="str">
        <f t="shared" si="1"/>
        <v>30</v>
      </c>
      <c r="D51" s="73">
        <f>ROUND(B51*((100-9.48)/255) +9.48,1)</f>
        <v>26.5</v>
      </c>
      <c r="E51" s="39" t="str">
        <f>",0x" &amp;DEC2HEX(ROUND(D51,0))</f>
        <v>,0x1B</v>
      </c>
      <c r="G51" s="76">
        <f>B51*(1063)/255</f>
        <v>200.09411764705882</v>
      </c>
      <c r="H51" s="153" t="str">
        <f>"," &amp;ROUND(G51/10,0)</f>
        <v>,20</v>
      </c>
      <c r="K51" s="63">
        <v>47</v>
      </c>
      <c r="M51" s="73">
        <f t="shared" si="2"/>
        <v>0.47</v>
      </c>
      <c r="O51" s="72">
        <f t="shared" si="3"/>
        <v>3.76</v>
      </c>
      <c r="Q51" s="73">
        <f t="shared" si="4"/>
        <v>-48.7</v>
      </c>
      <c r="R51" s="39" t="str">
        <f t="shared" si="5"/>
        <v>1F</v>
      </c>
      <c r="T51" s="77">
        <f t="shared" si="6"/>
        <v>0.1</v>
      </c>
      <c r="U51" s="155">
        <f t="shared" si="7"/>
        <v>40.1</v>
      </c>
      <c r="V51" s="39" t="str">
        <f t="shared" si="8"/>
        <v>,0x28</v>
      </c>
      <c r="X51" s="77">
        <f t="shared" si="9"/>
        <v>0.1</v>
      </c>
      <c r="Y51" s="155">
        <f t="shared" si="10"/>
        <v>40.1</v>
      </c>
      <c r="Z51" s="39" t="str">
        <f t="shared" si="11"/>
        <v>,0x28</v>
      </c>
      <c r="AB51" s="73">
        <f t="shared" si="12"/>
        <v>-62</v>
      </c>
      <c r="AD51" s="157">
        <f t="shared" si="13"/>
        <v>9.6000000000000002E-2</v>
      </c>
      <c r="AE51" s="157">
        <f t="shared" si="14"/>
        <v>24.576000000000001</v>
      </c>
      <c r="AG51" s="63" t="str">
        <f t="shared" si="15"/>
        <v>30</v>
      </c>
      <c r="AJ51" s="63" t="str">
        <f t="shared" si="16"/>
        <v>30</v>
      </c>
      <c r="AM51" s="63" t="str">
        <f t="shared" si="17"/>
        <v>30</v>
      </c>
      <c r="AP51" s="63" t="str">
        <f t="shared" si="18"/>
        <v>30</v>
      </c>
      <c r="AS51" s="63" t="str">
        <f t="shared" si="19"/>
        <v>30</v>
      </c>
    </row>
    <row r="52" spans="1:45">
      <c r="A52" s="35" t="str">
        <f t="shared" si="0"/>
        <v>,48</v>
      </c>
      <c r="B52" s="35">
        <v>49</v>
      </c>
      <c r="C52" s="35" t="str">
        <f t="shared" si="1"/>
        <v>31</v>
      </c>
      <c r="D52" s="73">
        <f>ROUND(B52*((100-9.48)/255) +9.48,1)</f>
        <v>26.9</v>
      </c>
      <c r="E52" s="39" t="str">
        <f>",0x" &amp;DEC2HEX(ROUND(D52,0))</f>
        <v>,0x1B</v>
      </c>
      <c r="G52" s="76">
        <f>B52*(1063)/255</f>
        <v>204.2627450980392</v>
      </c>
      <c r="H52" s="153" t="str">
        <f>"," &amp;ROUND(G52/10,0)</f>
        <v>,20</v>
      </c>
      <c r="K52" s="63">
        <v>48</v>
      </c>
      <c r="M52" s="73">
        <f t="shared" si="2"/>
        <v>0.48</v>
      </c>
      <c r="O52" s="72">
        <f t="shared" si="3"/>
        <v>3.84</v>
      </c>
      <c r="Q52" s="73">
        <f t="shared" si="4"/>
        <v>-48.5</v>
      </c>
      <c r="R52" s="39" t="str">
        <f t="shared" si="5"/>
        <v>1F</v>
      </c>
      <c r="T52" s="77">
        <f t="shared" si="6"/>
        <v>0.7</v>
      </c>
      <c r="U52" s="155">
        <f t="shared" si="7"/>
        <v>40.700000000000003</v>
      </c>
      <c r="V52" s="39" t="str">
        <f t="shared" si="8"/>
        <v>,0x28</v>
      </c>
      <c r="X52" s="77">
        <f t="shared" si="9"/>
        <v>0.7</v>
      </c>
      <c r="Y52" s="155">
        <f t="shared" si="10"/>
        <v>40.700000000000003</v>
      </c>
      <c r="Z52" s="39" t="str">
        <f t="shared" si="11"/>
        <v>,0x28</v>
      </c>
      <c r="AB52" s="73">
        <f t="shared" si="12"/>
        <v>-62</v>
      </c>
      <c r="AD52" s="157">
        <f t="shared" si="13"/>
        <v>9.8000000000000004E-2</v>
      </c>
      <c r="AE52" s="157">
        <f t="shared" si="14"/>
        <v>25.088000000000001</v>
      </c>
      <c r="AG52" s="63" t="str">
        <f t="shared" si="15"/>
        <v>31</v>
      </c>
      <c r="AJ52" s="63" t="str">
        <f t="shared" si="16"/>
        <v>31</v>
      </c>
      <c r="AM52" s="63" t="str">
        <f t="shared" si="17"/>
        <v>31</v>
      </c>
      <c r="AP52" s="63" t="str">
        <f t="shared" si="18"/>
        <v>31</v>
      </c>
      <c r="AS52" s="63" t="str">
        <f t="shared" si="19"/>
        <v>31</v>
      </c>
    </row>
    <row r="53" spans="1:45">
      <c r="A53" s="35" t="str">
        <f t="shared" si="0"/>
        <v>,49</v>
      </c>
      <c r="B53" s="35">
        <v>50</v>
      </c>
      <c r="C53" s="35" t="str">
        <f t="shared" si="1"/>
        <v>32</v>
      </c>
      <c r="D53" s="73">
        <f>ROUND(B53*((100-9.48)/255) +9.48,1)</f>
        <v>27.2</v>
      </c>
      <c r="E53" s="39" t="str">
        <f>",0x" &amp;DEC2HEX(ROUND(D53,0))</f>
        <v>,0x1B</v>
      </c>
      <c r="G53" s="76">
        <f>B53*(1063)/255</f>
        <v>208.43137254901961</v>
      </c>
      <c r="H53" s="153" t="str">
        <f>"," &amp;ROUND(G53/10,0)</f>
        <v>,21</v>
      </c>
      <c r="K53" s="63">
        <v>49</v>
      </c>
      <c r="M53" s="73">
        <f t="shared" si="2"/>
        <v>0.49</v>
      </c>
      <c r="O53" s="72">
        <f t="shared" si="3"/>
        <v>3.92</v>
      </c>
      <c r="Q53" s="73">
        <f t="shared" si="4"/>
        <v>-48.2</v>
      </c>
      <c r="R53" s="39" t="str">
        <f t="shared" si="5"/>
        <v>20</v>
      </c>
      <c r="T53" s="77">
        <f t="shared" si="6"/>
        <v>1.4</v>
      </c>
      <c r="U53" s="155">
        <f t="shared" si="7"/>
        <v>41.4</v>
      </c>
      <c r="V53" s="39" t="str">
        <f t="shared" si="8"/>
        <v>,0x29</v>
      </c>
      <c r="X53" s="77">
        <f t="shared" si="9"/>
        <v>1.4</v>
      </c>
      <c r="Y53" s="155">
        <f t="shared" si="10"/>
        <v>41.4</v>
      </c>
      <c r="Z53" s="39" t="str">
        <f t="shared" si="11"/>
        <v>,0x29</v>
      </c>
      <c r="AB53" s="73">
        <f t="shared" si="12"/>
        <v>-61</v>
      </c>
      <c r="AD53" s="157">
        <f t="shared" si="13"/>
        <v>0.1</v>
      </c>
      <c r="AE53" s="157">
        <f t="shared" si="14"/>
        <v>25.6</v>
      </c>
      <c r="AG53" s="63" t="str">
        <f t="shared" si="15"/>
        <v>32</v>
      </c>
      <c r="AJ53" s="63" t="str">
        <f t="shared" si="16"/>
        <v>32</v>
      </c>
      <c r="AM53" s="63" t="str">
        <f t="shared" si="17"/>
        <v>32</v>
      </c>
      <c r="AP53" s="63" t="str">
        <f t="shared" si="18"/>
        <v>32</v>
      </c>
      <c r="AS53" s="63" t="str">
        <f t="shared" si="19"/>
        <v>32</v>
      </c>
    </row>
    <row r="54" spans="1:45">
      <c r="A54" s="35" t="str">
        <f t="shared" si="0"/>
        <v>,50</v>
      </c>
      <c r="B54" s="35">
        <v>51</v>
      </c>
      <c r="C54" s="35" t="str">
        <f t="shared" si="1"/>
        <v>33</v>
      </c>
      <c r="D54" s="73">
        <f>ROUND(B54*((100-9.48)/255) +9.48,1)</f>
        <v>27.6</v>
      </c>
      <c r="E54" s="39" t="str">
        <f>",0x" &amp;DEC2HEX(ROUND(D54,0))</f>
        <v>,0x1C</v>
      </c>
      <c r="G54" s="76">
        <f>B54*(1063)/255</f>
        <v>212.6</v>
      </c>
      <c r="H54" s="153" t="str">
        <f>"," &amp;ROUND(G54/10,0)</f>
        <v>,21</v>
      </c>
      <c r="K54" s="63">
        <v>50</v>
      </c>
      <c r="M54" s="73">
        <f t="shared" si="2"/>
        <v>0.5</v>
      </c>
      <c r="O54" s="72">
        <f t="shared" si="3"/>
        <v>4</v>
      </c>
      <c r="Q54" s="73">
        <f t="shared" si="4"/>
        <v>-48</v>
      </c>
      <c r="R54" s="39" t="str">
        <f t="shared" si="5"/>
        <v>20</v>
      </c>
      <c r="T54" s="77">
        <f t="shared" si="6"/>
        <v>2</v>
      </c>
      <c r="U54" s="155">
        <f t="shared" si="7"/>
        <v>42</v>
      </c>
      <c r="V54" s="39" t="str">
        <f t="shared" si="8"/>
        <v>,0x2A</v>
      </c>
      <c r="X54" s="77">
        <f t="shared" si="9"/>
        <v>2</v>
      </c>
      <c r="Y54" s="155">
        <f t="shared" si="10"/>
        <v>42</v>
      </c>
      <c r="Z54" s="39" t="str">
        <f t="shared" si="11"/>
        <v>,0x2A</v>
      </c>
      <c r="AB54" s="73">
        <f t="shared" si="12"/>
        <v>-60</v>
      </c>
      <c r="AD54" s="157">
        <f t="shared" si="13"/>
        <v>0.10199999999999999</v>
      </c>
      <c r="AE54" s="157">
        <f t="shared" si="14"/>
        <v>26.111999999999998</v>
      </c>
      <c r="AG54" s="63" t="str">
        <f t="shared" si="15"/>
        <v>33</v>
      </c>
      <c r="AJ54" s="63" t="str">
        <f t="shared" si="16"/>
        <v>33</v>
      </c>
      <c r="AM54" s="63" t="str">
        <f t="shared" si="17"/>
        <v>33</v>
      </c>
      <c r="AP54" s="63" t="str">
        <f t="shared" si="18"/>
        <v>33</v>
      </c>
      <c r="AS54" s="63" t="str">
        <f t="shared" si="19"/>
        <v>33</v>
      </c>
    </row>
    <row r="55" spans="1:45">
      <c r="A55" s="35" t="str">
        <f t="shared" si="0"/>
        <v>,51</v>
      </c>
      <c r="B55" s="35">
        <v>52</v>
      </c>
      <c r="C55" s="35" t="str">
        <f t="shared" si="1"/>
        <v>34</v>
      </c>
      <c r="D55" s="73">
        <f>ROUND(B55*((100-9.48)/255) +9.48,1)</f>
        <v>27.9</v>
      </c>
      <c r="E55" s="39" t="str">
        <f>",0x" &amp;DEC2HEX(ROUND(D55,0))</f>
        <v>,0x1C</v>
      </c>
      <c r="G55" s="76">
        <f>B55*(1063)/255</f>
        <v>216.7686274509804</v>
      </c>
      <c r="H55" s="153" t="str">
        <f>"," &amp;ROUND(G55/10,0)</f>
        <v>,22</v>
      </c>
      <c r="K55" s="63">
        <v>51</v>
      </c>
      <c r="M55" s="73">
        <f t="shared" si="2"/>
        <v>0.51</v>
      </c>
      <c r="O55" s="72">
        <f t="shared" si="3"/>
        <v>4.08</v>
      </c>
      <c r="Q55" s="73">
        <f t="shared" si="4"/>
        <v>-47.8</v>
      </c>
      <c r="R55" s="39" t="str">
        <f t="shared" si="5"/>
        <v>20</v>
      </c>
      <c r="T55" s="77">
        <f t="shared" si="6"/>
        <v>2.6</v>
      </c>
      <c r="U55" s="155">
        <f t="shared" si="7"/>
        <v>42.6</v>
      </c>
      <c r="V55" s="39" t="str">
        <f t="shared" si="8"/>
        <v>,0x2A</v>
      </c>
      <c r="X55" s="77">
        <f t="shared" si="9"/>
        <v>2.6</v>
      </c>
      <c r="Y55" s="155">
        <f t="shared" si="10"/>
        <v>42.6</v>
      </c>
      <c r="Z55" s="39" t="str">
        <f t="shared" si="11"/>
        <v>,0x2A</v>
      </c>
      <c r="AB55" s="73">
        <f t="shared" si="12"/>
        <v>-59</v>
      </c>
      <c r="AD55" s="157">
        <f t="shared" si="13"/>
        <v>0.104</v>
      </c>
      <c r="AE55" s="157">
        <f t="shared" si="14"/>
        <v>26.623999999999999</v>
      </c>
      <c r="AG55" s="63" t="str">
        <f t="shared" si="15"/>
        <v>34</v>
      </c>
      <c r="AJ55" s="63" t="str">
        <f t="shared" si="16"/>
        <v>34</v>
      </c>
      <c r="AM55" s="63" t="str">
        <f t="shared" si="17"/>
        <v>34</v>
      </c>
      <c r="AP55" s="63" t="str">
        <f t="shared" si="18"/>
        <v>34</v>
      </c>
      <c r="AS55" s="63" t="str">
        <f t="shared" si="19"/>
        <v>34</v>
      </c>
    </row>
    <row r="56" spans="1:45">
      <c r="A56" s="35" t="str">
        <f t="shared" si="0"/>
        <v>,52</v>
      </c>
      <c r="B56" s="35">
        <v>53</v>
      </c>
      <c r="C56" s="35" t="str">
        <f t="shared" si="1"/>
        <v>35</v>
      </c>
      <c r="D56" s="73">
        <f>ROUND(B56*((100-9.48)/255) +9.48,1)</f>
        <v>28.3</v>
      </c>
      <c r="E56" s="39" t="str">
        <f>",0x" &amp;DEC2HEX(ROUND(D56,0))</f>
        <v>,0x1C</v>
      </c>
      <c r="G56" s="76">
        <f>B56*(1063)/255</f>
        <v>220.93725490196078</v>
      </c>
      <c r="H56" s="153" t="str">
        <f>"," &amp;ROUND(G56/10,0)</f>
        <v>,22</v>
      </c>
      <c r="K56" s="63">
        <v>52</v>
      </c>
      <c r="M56" s="73">
        <f t="shared" si="2"/>
        <v>0.52</v>
      </c>
      <c r="O56" s="72">
        <f t="shared" si="3"/>
        <v>4.16</v>
      </c>
      <c r="Q56" s="73">
        <f t="shared" si="4"/>
        <v>-47.5</v>
      </c>
      <c r="R56" s="39" t="str">
        <f t="shared" si="5"/>
        <v>21</v>
      </c>
      <c r="T56" s="77">
        <f t="shared" si="6"/>
        <v>3.3</v>
      </c>
      <c r="U56" s="155">
        <f t="shared" si="7"/>
        <v>43.3</v>
      </c>
      <c r="V56" s="39" t="str">
        <f t="shared" si="8"/>
        <v>,0x2B</v>
      </c>
      <c r="X56" s="77">
        <f t="shared" si="9"/>
        <v>3.3</v>
      </c>
      <c r="Y56" s="155">
        <f t="shared" si="10"/>
        <v>43.3</v>
      </c>
      <c r="Z56" s="39" t="str">
        <f t="shared" si="11"/>
        <v>,0x2B</v>
      </c>
      <c r="AB56" s="73">
        <f t="shared" si="12"/>
        <v>-58</v>
      </c>
      <c r="AD56" s="157">
        <f t="shared" si="13"/>
        <v>0.106</v>
      </c>
      <c r="AE56" s="157">
        <f t="shared" si="14"/>
        <v>27.135999999999999</v>
      </c>
      <c r="AG56" s="63" t="str">
        <f t="shared" si="15"/>
        <v>35</v>
      </c>
      <c r="AJ56" s="63" t="str">
        <f t="shared" si="16"/>
        <v>35</v>
      </c>
      <c r="AM56" s="63" t="str">
        <f t="shared" si="17"/>
        <v>35</v>
      </c>
      <c r="AP56" s="63" t="str">
        <f t="shared" si="18"/>
        <v>35</v>
      </c>
      <c r="AS56" s="63" t="str">
        <f t="shared" si="19"/>
        <v>35</v>
      </c>
    </row>
    <row r="57" spans="1:45">
      <c r="A57" s="35" t="str">
        <f t="shared" si="0"/>
        <v>,53</v>
      </c>
      <c r="B57" s="35">
        <v>54</v>
      </c>
      <c r="C57" s="35" t="str">
        <f t="shared" si="1"/>
        <v>36</v>
      </c>
      <c r="D57" s="73">
        <f>ROUND(B57*((100-9.48)/255) +9.48,1)</f>
        <v>28.6</v>
      </c>
      <c r="E57" s="39" t="str">
        <f>",0x" &amp;DEC2HEX(ROUND(D57,0))</f>
        <v>,0x1D</v>
      </c>
      <c r="G57" s="76">
        <f>B57*(1063)/255</f>
        <v>225.10588235294117</v>
      </c>
      <c r="H57" s="153" t="str">
        <f>"," &amp;ROUND(G57/10,0)</f>
        <v>,23</v>
      </c>
      <c r="K57" s="63">
        <v>53</v>
      </c>
      <c r="M57" s="73">
        <f t="shared" si="2"/>
        <v>0.53</v>
      </c>
      <c r="O57" s="72">
        <f t="shared" si="3"/>
        <v>4.24</v>
      </c>
      <c r="Q57" s="73">
        <f t="shared" si="4"/>
        <v>-47.3</v>
      </c>
      <c r="R57" s="39" t="str">
        <f t="shared" si="5"/>
        <v>21</v>
      </c>
      <c r="T57" s="77">
        <f t="shared" si="6"/>
        <v>3.9</v>
      </c>
      <c r="U57" s="155">
        <f t="shared" si="7"/>
        <v>43.9</v>
      </c>
      <c r="V57" s="39" t="str">
        <f t="shared" si="8"/>
        <v>,0x2B</v>
      </c>
      <c r="X57" s="77">
        <f t="shared" si="9"/>
        <v>3.9</v>
      </c>
      <c r="Y57" s="155">
        <f t="shared" si="10"/>
        <v>43.9</v>
      </c>
      <c r="Z57" s="39" t="str">
        <f t="shared" si="11"/>
        <v>,0x2B</v>
      </c>
      <c r="AB57" s="73">
        <f t="shared" si="12"/>
        <v>-58</v>
      </c>
      <c r="AD57" s="157">
        <f t="shared" si="13"/>
        <v>0.108</v>
      </c>
      <c r="AE57" s="157">
        <f t="shared" si="14"/>
        <v>27.648</v>
      </c>
      <c r="AG57" s="63" t="str">
        <f t="shared" si="15"/>
        <v>36</v>
      </c>
      <c r="AJ57" s="63" t="str">
        <f t="shared" si="16"/>
        <v>36</v>
      </c>
      <c r="AM57" s="63" t="str">
        <f t="shared" si="17"/>
        <v>36</v>
      </c>
      <c r="AP57" s="63" t="str">
        <f t="shared" si="18"/>
        <v>36</v>
      </c>
      <c r="AS57" s="63" t="str">
        <f t="shared" si="19"/>
        <v>36</v>
      </c>
    </row>
    <row r="58" spans="1:45">
      <c r="A58" s="35" t="str">
        <f t="shared" si="0"/>
        <v>,54</v>
      </c>
      <c r="B58" s="35">
        <v>55</v>
      </c>
      <c r="C58" s="35" t="str">
        <f t="shared" si="1"/>
        <v>37</v>
      </c>
      <c r="D58" s="73">
        <f>ROUND(B58*((100-9.48)/255) +9.48,1)</f>
        <v>29</v>
      </c>
      <c r="E58" s="39" t="str">
        <f>",0x" &amp;DEC2HEX(ROUND(D58,0))</f>
        <v>,0x1D</v>
      </c>
      <c r="G58" s="76">
        <f>B58*(1063)/255</f>
        <v>229.27450980392157</v>
      </c>
      <c r="H58" s="153" t="str">
        <f>"," &amp;ROUND(G58/10,0)</f>
        <v>,23</v>
      </c>
      <c r="K58" s="63">
        <v>54</v>
      </c>
      <c r="M58" s="73">
        <f t="shared" si="2"/>
        <v>0.54</v>
      </c>
      <c r="O58" s="72">
        <f t="shared" si="3"/>
        <v>4.3099999999999996</v>
      </c>
      <c r="Q58" s="73">
        <f t="shared" si="4"/>
        <v>-47.1</v>
      </c>
      <c r="R58" s="39" t="str">
        <f t="shared" si="5"/>
        <v>22</v>
      </c>
      <c r="T58" s="77">
        <f t="shared" si="6"/>
        <v>4.5</v>
      </c>
      <c r="U58" s="155">
        <f t="shared" si="7"/>
        <v>44.5</v>
      </c>
      <c r="V58" s="39" t="str">
        <f t="shared" si="8"/>
        <v>,0x2C</v>
      </c>
      <c r="X58" s="77">
        <f t="shared" si="9"/>
        <v>4.5</v>
      </c>
      <c r="Y58" s="155">
        <f t="shared" si="10"/>
        <v>44.5</v>
      </c>
      <c r="Z58" s="39" t="str">
        <f t="shared" si="11"/>
        <v>,0x2C</v>
      </c>
      <c r="AB58" s="73">
        <f t="shared" si="12"/>
        <v>-57</v>
      </c>
      <c r="AD58" s="157">
        <f t="shared" si="13"/>
        <v>0.11</v>
      </c>
      <c r="AE58" s="157">
        <f t="shared" si="14"/>
        <v>28.16</v>
      </c>
      <c r="AG58" s="63" t="str">
        <f t="shared" si="15"/>
        <v>37</v>
      </c>
      <c r="AJ58" s="63" t="str">
        <f t="shared" si="16"/>
        <v>37</v>
      </c>
      <c r="AM58" s="63" t="str">
        <f t="shared" si="17"/>
        <v>37</v>
      </c>
      <c r="AP58" s="63" t="str">
        <f t="shared" si="18"/>
        <v>37</v>
      </c>
      <c r="AS58" s="63" t="str">
        <f t="shared" si="19"/>
        <v>37</v>
      </c>
    </row>
    <row r="59" spans="1:45">
      <c r="A59" s="35" t="str">
        <f t="shared" si="0"/>
        <v>,55</v>
      </c>
      <c r="B59" s="35">
        <v>56</v>
      </c>
      <c r="C59" s="35" t="str">
        <f t="shared" si="1"/>
        <v>38</v>
      </c>
      <c r="D59" s="73">
        <f>ROUND(B59*((100-9.48)/255) +9.48,1)</f>
        <v>29.4</v>
      </c>
      <c r="E59" s="39" t="str">
        <f>",0x" &amp;DEC2HEX(ROUND(D59,0))</f>
        <v>,0x1D</v>
      </c>
      <c r="G59" s="76">
        <f>B59*(1063)/255</f>
        <v>233.44313725490196</v>
      </c>
      <c r="H59" s="153" t="str">
        <f>"," &amp;ROUND(G59/10,0)</f>
        <v>,23</v>
      </c>
      <c r="K59" s="63">
        <v>55</v>
      </c>
      <c r="M59" s="73">
        <f t="shared" si="2"/>
        <v>0.55000000000000004</v>
      </c>
      <c r="O59" s="72">
        <f t="shared" si="3"/>
        <v>4.3899999999999997</v>
      </c>
      <c r="Q59" s="73">
        <f t="shared" si="4"/>
        <v>-46.8</v>
      </c>
      <c r="R59" s="39" t="str">
        <f t="shared" si="5"/>
        <v>22</v>
      </c>
      <c r="T59" s="77">
        <f t="shared" si="6"/>
        <v>5.0999999999999996</v>
      </c>
      <c r="U59" s="155">
        <f t="shared" si="7"/>
        <v>45.1</v>
      </c>
      <c r="V59" s="39" t="str">
        <f t="shared" si="8"/>
        <v>,0x2D</v>
      </c>
      <c r="X59" s="77">
        <f t="shared" si="9"/>
        <v>5.0999999999999996</v>
      </c>
      <c r="Y59" s="155">
        <f t="shared" si="10"/>
        <v>45.1</v>
      </c>
      <c r="Z59" s="39" t="str">
        <f t="shared" si="11"/>
        <v>,0x2D</v>
      </c>
      <c r="AB59" s="73">
        <f t="shared" si="12"/>
        <v>-56</v>
      </c>
      <c r="AD59" s="157">
        <f t="shared" si="13"/>
        <v>0.112</v>
      </c>
      <c r="AE59" s="157">
        <f t="shared" si="14"/>
        <v>28.672000000000001</v>
      </c>
      <c r="AG59" s="63" t="str">
        <f t="shared" si="15"/>
        <v>38</v>
      </c>
      <c r="AJ59" s="63" t="str">
        <f t="shared" si="16"/>
        <v>38</v>
      </c>
      <c r="AM59" s="63" t="str">
        <f t="shared" si="17"/>
        <v>38</v>
      </c>
      <c r="AP59" s="63" t="str">
        <f t="shared" si="18"/>
        <v>38</v>
      </c>
      <c r="AS59" s="63" t="str">
        <f t="shared" si="19"/>
        <v>38</v>
      </c>
    </row>
    <row r="60" spans="1:45">
      <c r="A60" s="35" t="str">
        <f t="shared" si="0"/>
        <v>,56</v>
      </c>
      <c r="B60" s="35">
        <v>57</v>
      </c>
      <c r="C60" s="35" t="str">
        <f t="shared" si="1"/>
        <v>39</v>
      </c>
      <c r="D60" s="73">
        <f>ROUND(B60*((100-9.48)/255) +9.48,1)</f>
        <v>29.7</v>
      </c>
      <c r="E60" s="39" t="str">
        <f>",0x" &amp;DEC2HEX(ROUND(D60,0))</f>
        <v>,0x1E</v>
      </c>
      <c r="G60" s="76">
        <f>B60*(1063)/255</f>
        <v>237.61176470588236</v>
      </c>
      <c r="H60" s="153" t="str">
        <f>"," &amp;ROUND(G60/10,0)</f>
        <v>,24</v>
      </c>
      <c r="K60" s="63">
        <v>56</v>
      </c>
      <c r="M60" s="73">
        <f t="shared" si="2"/>
        <v>0.56000000000000005</v>
      </c>
      <c r="O60" s="72">
        <f t="shared" si="3"/>
        <v>4.47</v>
      </c>
      <c r="Q60" s="73">
        <f t="shared" si="4"/>
        <v>-46.6</v>
      </c>
      <c r="R60" s="39" t="str">
        <f t="shared" si="5"/>
        <v>23</v>
      </c>
      <c r="T60" s="77">
        <f t="shared" si="6"/>
        <v>5.8</v>
      </c>
      <c r="U60" s="155">
        <f t="shared" si="7"/>
        <v>45.8</v>
      </c>
      <c r="V60" s="39" t="str">
        <f t="shared" si="8"/>
        <v>,0x2D</v>
      </c>
      <c r="X60" s="77">
        <f t="shared" si="9"/>
        <v>5.8</v>
      </c>
      <c r="Y60" s="155">
        <f t="shared" si="10"/>
        <v>45.8</v>
      </c>
      <c r="Z60" s="39" t="str">
        <f t="shared" si="11"/>
        <v>,0x2D</v>
      </c>
      <c r="AB60" s="73">
        <f t="shared" si="12"/>
        <v>-55</v>
      </c>
      <c r="AD60" s="157">
        <f t="shared" si="13"/>
        <v>0.114</v>
      </c>
      <c r="AE60" s="157">
        <f t="shared" si="14"/>
        <v>29.184000000000001</v>
      </c>
      <c r="AG60" s="63" t="str">
        <f t="shared" si="15"/>
        <v>39</v>
      </c>
      <c r="AJ60" s="63" t="str">
        <f t="shared" si="16"/>
        <v>39</v>
      </c>
      <c r="AM60" s="63" t="str">
        <f t="shared" si="17"/>
        <v>39</v>
      </c>
      <c r="AP60" s="63" t="str">
        <f t="shared" si="18"/>
        <v>39</v>
      </c>
      <c r="AS60" s="63" t="str">
        <f t="shared" si="19"/>
        <v>39</v>
      </c>
    </row>
    <row r="61" spans="1:45">
      <c r="A61" s="35" t="str">
        <f t="shared" si="0"/>
        <v>,57</v>
      </c>
      <c r="B61" s="35">
        <v>58</v>
      </c>
      <c r="C61" s="35" t="str">
        <f t="shared" si="1"/>
        <v>3A</v>
      </c>
      <c r="D61" s="73">
        <f>ROUND(B61*((100-9.48)/255) +9.48,1)</f>
        <v>30.1</v>
      </c>
      <c r="E61" s="39" t="str">
        <f>",0x" &amp;DEC2HEX(ROUND(D61,0))</f>
        <v>,0x1E</v>
      </c>
      <c r="G61" s="76">
        <f>B61*(1063)/255</f>
        <v>241.78039215686275</v>
      </c>
      <c r="H61" s="153" t="str">
        <f>"," &amp;ROUND(G61/10,0)</f>
        <v>,24</v>
      </c>
      <c r="K61" s="63">
        <v>57</v>
      </c>
      <c r="M61" s="73">
        <f t="shared" si="2"/>
        <v>0.56999999999999995</v>
      </c>
      <c r="O61" s="72">
        <f t="shared" si="3"/>
        <v>4.55</v>
      </c>
      <c r="Q61" s="73">
        <f t="shared" si="4"/>
        <v>-46.4</v>
      </c>
      <c r="R61" s="39" t="str">
        <f t="shared" si="5"/>
        <v>23</v>
      </c>
      <c r="T61" s="77">
        <f t="shared" si="6"/>
        <v>6.4</v>
      </c>
      <c r="U61" s="155">
        <f t="shared" si="7"/>
        <v>46.4</v>
      </c>
      <c r="V61" s="39" t="str">
        <f t="shared" si="8"/>
        <v>,0x2E</v>
      </c>
      <c r="X61" s="77">
        <f t="shared" si="9"/>
        <v>6.4</v>
      </c>
      <c r="Y61" s="155">
        <f t="shared" si="10"/>
        <v>46.4</v>
      </c>
      <c r="Z61" s="39" t="str">
        <f t="shared" si="11"/>
        <v>,0x2E</v>
      </c>
      <c r="AB61" s="73">
        <f t="shared" si="12"/>
        <v>-55</v>
      </c>
      <c r="AD61" s="157">
        <f t="shared" si="13"/>
        <v>0.11600000000000001</v>
      </c>
      <c r="AE61" s="157">
        <f t="shared" si="14"/>
        <v>29.696000000000002</v>
      </c>
      <c r="AG61" s="63" t="str">
        <f t="shared" si="15"/>
        <v>3A</v>
      </c>
      <c r="AJ61" s="63" t="str">
        <f t="shared" si="16"/>
        <v>3A</v>
      </c>
      <c r="AM61" s="63" t="str">
        <f t="shared" si="17"/>
        <v>3A</v>
      </c>
      <c r="AP61" s="63" t="str">
        <f t="shared" si="18"/>
        <v>3A</v>
      </c>
      <c r="AS61" s="63" t="str">
        <f t="shared" si="19"/>
        <v>3A</v>
      </c>
    </row>
    <row r="62" spans="1:45">
      <c r="A62" s="35" t="str">
        <f t="shared" si="0"/>
        <v>,58</v>
      </c>
      <c r="B62" s="35">
        <v>59</v>
      </c>
      <c r="C62" s="35" t="str">
        <f t="shared" si="1"/>
        <v>3B</v>
      </c>
      <c r="D62" s="73">
        <f>ROUND(B62*((100-9.48)/255) +9.48,1)</f>
        <v>30.4</v>
      </c>
      <c r="E62" s="39" t="str">
        <f>",0x" &amp;DEC2HEX(ROUND(D62,0))</f>
        <v>,0x1E</v>
      </c>
      <c r="G62" s="76">
        <f>B62*(1063)/255</f>
        <v>245.94901960784313</v>
      </c>
      <c r="H62" s="153" t="str">
        <f>"," &amp;ROUND(G62/10,0)</f>
        <v>,25</v>
      </c>
      <c r="K62" s="63">
        <v>58</v>
      </c>
      <c r="M62" s="73">
        <f t="shared" si="2"/>
        <v>0.57999999999999996</v>
      </c>
      <c r="O62" s="72">
        <f t="shared" si="3"/>
        <v>4.63</v>
      </c>
      <c r="Q62" s="73">
        <f t="shared" si="4"/>
        <v>-46.1</v>
      </c>
      <c r="R62" s="39" t="str">
        <f t="shared" si="5"/>
        <v>24</v>
      </c>
      <c r="T62" s="77">
        <f t="shared" si="6"/>
        <v>7</v>
      </c>
      <c r="U62" s="155">
        <f t="shared" si="7"/>
        <v>47</v>
      </c>
      <c r="V62" s="39" t="str">
        <f t="shared" si="8"/>
        <v>,0x2F</v>
      </c>
      <c r="X62" s="77">
        <f t="shared" si="9"/>
        <v>7</v>
      </c>
      <c r="Y62" s="155">
        <f t="shared" si="10"/>
        <v>47</v>
      </c>
      <c r="Z62" s="39" t="str">
        <f t="shared" si="11"/>
        <v>,0x2F</v>
      </c>
      <c r="AB62" s="73">
        <f t="shared" si="12"/>
        <v>-54</v>
      </c>
      <c r="AD62" s="157">
        <f t="shared" si="13"/>
        <v>0.11799999999999999</v>
      </c>
      <c r="AE62" s="157">
        <f t="shared" si="14"/>
        <v>30.207999999999998</v>
      </c>
      <c r="AG62" s="63" t="str">
        <f t="shared" si="15"/>
        <v>3B</v>
      </c>
      <c r="AJ62" s="63" t="str">
        <f t="shared" si="16"/>
        <v>3B</v>
      </c>
      <c r="AM62" s="63" t="str">
        <f t="shared" si="17"/>
        <v>3B</v>
      </c>
      <c r="AP62" s="63" t="str">
        <f t="shared" si="18"/>
        <v>3B</v>
      </c>
      <c r="AS62" s="63" t="str">
        <f t="shared" si="19"/>
        <v>3B</v>
      </c>
    </row>
    <row r="63" spans="1:45">
      <c r="A63" s="35" t="str">
        <f t="shared" si="0"/>
        <v>,59</v>
      </c>
      <c r="B63" s="35">
        <v>60</v>
      </c>
      <c r="C63" s="35" t="str">
        <f t="shared" si="1"/>
        <v>3C</v>
      </c>
      <c r="D63" s="73">
        <f>ROUND(B63*((100-9.48)/255) +9.48,1)</f>
        <v>30.8</v>
      </c>
      <c r="E63" s="39" t="str">
        <f>",0x" &amp;DEC2HEX(ROUND(D63,0))</f>
        <v>,0x1F</v>
      </c>
      <c r="G63" s="76">
        <f>B63*(1063)/255</f>
        <v>250.11764705882354</v>
      </c>
      <c r="H63" s="153" t="str">
        <f>"," &amp;ROUND(G63/10,0)</f>
        <v>,25</v>
      </c>
      <c r="K63" s="63">
        <v>59</v>
      </c>
      <c r="M63" s="73">
        <f t="shared" si="2"/>
        <v>0.59</v>
      </c>
      <c r="O63" s="72">
        <f t="shared" si="3"/>
        <v>4.71</v>
      </c>
      <c r="Q63" s="73">
        <f t="shared" si="4"/>
        <v>-45.9</v>
      </c>
      <c r="R63" s="39" t="str">
        <f t="shared" si="5"/>
        <v>24</v>
      </c>
      <c r="T63" s="77">
        <f t="shared" si="6"/>
        <v>7.6</v>
      </c>
      <c r="U63" s="155">
        <f t="shared" si="7"/>
        <v>47.6</v>
      </c>
      <c r="V63" s="39" t="str">
        <f t="shared" si="8"/>
        <v>,0x2F</v>
      </c>
      <c r="X63" s="77">
        <f t="shared" si="9"/>
        <v>7.6</v>
      </c>
      <c r="Y63" s="155">
        <f t="shared" si="10"/>
        <v>47.6</v>
      </c>
      <c r="Z63" s="39" t="str">
        <f t="shared" si="11"/>
        <v>,0x2F</v>
      </c>
      <c r="AB63" s="73">
        <f t="shared" si="12"/>
        <v>-53</v>
      </c>
      <c r="AD63" s="157">
        <f t="shared" si="13"/>
        <v>0.12</v>
      </c>
      <c r="AE63" s="157">
        <f t="shared" si="14"/>
        <v>30.72</v>
      </c>
      <c r="AG63" s="63" t="str">
        <f t="shared" si="15"/>
        <v>3C</v>
      </c>
      <c r="AJ63" s="63" t="str">
        <f t="shared" si="16"/>
        <v>3C</v>
      </c>
      <c r="AM63" s="63" t="str">
        <f t="shared" si="17"/>
        <v>3C</v>
      </c>
      <c r="AP63" s="63" t="str">
        <f t="shared" si="18"/>
        <v>3C</v>
      </c>
      <c r="AS63" s="63" t="str">
        <f t="shared" si="19"/>
        <v>3C</v>
      </c>
    </row>
    <row r="64" spans="1:45">
      <c r="A64" s="35" t="str">
        <f t="shared" si="0"/>
        <v>,60</v>
      </c>
      <c r="B64" s="35">
        <v>61</v>
      </c>
      <c r="C64" s="35" t="str">
        <f t="shared" si="1"/>
        <v>3D</v>
      </c>
      <c r="D64" s="73">
        <f>ROUND(B64*((100-9.48)/255) +9.48,1)</f>
        <v>31.1</v>
      </c>
      <c r="E64" s="39" t="str">
        <f>",0x" &amp;DEC2HEX(ROUND(D64,0))</f>
        <v>,0x1F</v>
      </c>
      <c r="G64" s="76">
        <f>B64*(1063)/255</f>
        <v>254.28627450980392</v>
      </c>
      <c r="H64" s="153" t="str">
        <f>"," &amp;ROUND(G64/10,0)</f>
        <v>,25</v>
      </c>
      <c r="K64" s="63">
        <v>60</v>
      </c>
      <c r="M64" s="73">
        <f t="shared" si="2"/>
        <v>0.6</v>
      </c>
      <c r="O64" s="72">
        <f t="shared" si="3"/>
        <v>4.78</v>
      </c>
      <c r="Q64" s="73">
        <f t="shared" si="4"/>
        <v>-45.6</v>
      </c>
      <c r="R64" s="39" t="str">
        <f t="shared" si="5"/>
        <v>25</v>
      </c>
      <c r="T64" s="77">
        <f t="shared" si="6"/>
        <v>8.3000000000000007</v>
      </c>
      <c r="U64" s="155">
        <f t="shared" si="7"/>
        <v>48.3</v>
      </c>
      <c r="V64" s="39" t="str">
        <f t="shared" si="8"/>
        <v>,0x30</v>
      </c>
      <c r="X64" s="77">
        <f t="shared" si="9"/>
        <v>8.3000000000000007</v>
      </c>
      <c r="Y64" s="155">
        <f t="shared" si="10"/>
        <v>48.3</v>
      </c>
      <c r="Z64" s="39" t="str">
        <f t="shared" si="11"/>
        <v>,0x30</v>
      </c>
      <c r="AB64" s="73">
        <f t="shared" si="12"/>
        <v>-52</v>
      </c>
      <c r="AD64" s="157">
        <f t="shared" si="13"/>
        <v>0.122</v>
      </c>
      <c r="AE64" s="157">
        <f t="shared" si="14"/>
        <v>31.231999999999999</v>
      </c>
      <c r="AG64" s="63" t="str">
        <f t="shared" si="15"/>
        <v>3D</v>
      </c>
      <c r="AJ64" s="63" t="str">
        <f t="shared" si="16"/>
        <v>3D</v>
      </c>
      <c r="AM64" s="63" t="str">
        <f t="shared" si="17"/>
        <v>3D</v>
      </c>
      <c r="AP64" s="63" t="str">
        <f t="shared" si="18"/>
        <v>3D</v>
      </c>
      <c r="AS64" s="63" t="str">
        <f t="shared" si="19"/>
        <v>3D</v>
      </c>
    </row>
    <row r="65" spans="1:46">
      <c r="A65" s="35" t="str">
        <f t="shared" si="0"/>
        <v>,61</v>
      </c>
      <c r="B65" s="35">
        <v>62</v>
      </c>
      <c r="C65" s="35" t="str">
        <f t="shared" si="1"/>
        <v>3E</v>
      </c>
      <c r="D65" s="73">
        <f>ROUND(B65*((100-9.48)/255) +9.48,1)</f>
        <v>31.5</v>
      </c>
      <c r="E65" s="39" t="str">
        <f>",0x" &amp;DEC2HEX(ROUND(D65,0))</f>
        <v>,0x20</v>
      </c>
      <c r="G65" s="76">
        <f>B65*(1063)/255</f>
        <v>258.4549019607843</v>
      </c>
      <c r="H65" s="153" t="str">
        <f>"," &amp;ROUND(G65/10,0)</f>
        <v>,26</v>
      </c>
      <c r="K65" s="63">
        <v>61</v>
      </c>
      <c r="M65" s="73">
        <f t="shared" si="2"/>
        <v>0.61</v>
      </c>
      <c r="O65" s="72">
        <f t="shared" si="3"/>
        <v>4.8600000000000003</v>
      </c>
      <c r="Q65" s="73">
        <f t="shared" si="4"/>
        <v>-45.4</v>
      </c>
      <c r="R65" s="39" t="str">
        <f t="shared" si="5"/>
        <v>25</v>
      </c>
      <c r="T65" s="77">
        <f t="shared" si="6"/>
        <v>8.9</v>
      </c>
      <c r="U65" s="155">
        <f t="shared" si="7"/>
        <v>48.9</v>
      </c>
      <c r="V65" s="39" t="str">
        <f t="shared" si="8"/>
        <v>,0x30</v>
      </c>
      <c r="X65" s="77">
        <f t="shared" si="9"/>
        <v>8.9</v>
      </c>
      <c r="Y65" s="155">
        <f t="shared" si="10"/>
        <v>48.9</v>
      </c>
      <c r="Z65" s="39" t="str">
        <f t="shared" si="11"/>
        <v>,0x30</v>
      </c>
      <c r="AB65" s="73">
        <f t="shared" si="12"/>
        <v>-51</v>
      </c>
      <c r="AD65" s="157">
        <f t="shared" si="13"/>
        <v>0.124</v>
      </c>
      <c r="AE65" s="157">
        <f t="shared" si="14"/>
        <v>31.744</v>
      </c>
      <c r="AG65" s="63" t="str">
        <f t="shared" si="15"/>
        <v>3E</v>
      </c>
      <c r="AJ65" s="63" t="str">
        <f t="shared" si="16"/>
        <v>3E</v>
      </c>
      <c r="AM65" s="63" t="str">
        <f t="shared" si="17"/>
        <v>3E</v>
      </c>
      <c r="AP65" s="63" t="str">
        <f t="shared" si="18"/>
        <v>3E</v>
      </c>
      <c r="AS65" s="63" t="str">
        <f t="shared" si="19"/>
        <v>3E</v>
      </c>
    </row>
    <row r="66" spans="1:46">
      <c r="A66" s="35" t="str">
        <f t="shared" si="0"/>
        <v>,62</v>
      </c>
      <c r="B66" s="35">
        <v>63</v>
      </c>
      <c r="C66" s="35" t="str">
        <f t="shared" si="1"/>
        <v>3F</v>
      </c>
      <c r="D66" s="73">
        <f>ROUND(B66*((100-9.48)/255) +9.48,1)</f>
        <v>31.8</v>
      </c>
      <c r="E66" s="39" t="str">
        <f>",0x" &amp;DEC2HEX(ROUND(D66,0))</f>
        <v>,0x20</v>
      </c>
      <c r="G66" s="76">
        <f>B66*(1063)/255</f>
        <v>262.62352941176471</v>
      </c>
      <c r="H66" s="153" t="str">
        <f>"," &amp;ROUND(G66/10,0)</f>
        <v>,26</v>
      </c>
      <c r="K66" s="63">
        <v>62</v>
      </c>
      <c r="M66" s="73">
        <f t="shared" si="2"/>
        <v>0.62</v>
      </c>
      <c r="O66" s="72">
        <f t="shared" si="3"/>
        <v>4.9400000000000004</v>
      </c>
      <c r="Q66" s="73">
        <f t="shared" si="4"/>
        <v>-45.2</v>
      </c>
      <c r="R66" s="39" t="str">
        <f t="shared" si="5"/>
        <v>26</v>
      </c>
      <c r="T66" s="77">
        <f t="shared" si="6"/>
        <v>9.5</v>
      </c>
      <c r="U66" s="155">
        <f t="shared" si="7"/>
        <v>49.5</v>
      </c>
      <c r="V66" s="39" t="str">
        <f t="shared" si="8"/>
        <v>,0x31</v>
      </c>
      <c r="X66" s="77">
        <f t="shared" si="9"/>
        <v>9.5</v>
      </c>
      <c r="Y66" s="155">
        <f t="shared" si="10"/>
        <v>49.5</v>
      </c>
      <c r="Z66" s="39" t="str">
        <f t="shared" si="11"/>
        <v>,0x31</v>
      </c>
      <c r="AB66" s="73">
        <f t="shared" si="12"/>
        <v>-51</v>
      </c>
      <c r="AD66" s="157">
        <f t="shared" si="13"/>
        <v>0.126</v>
      </c>
      <c r="AE66" s="157">
        <f t="shared" si="14"/>
        <v>32.256</v>
      </c>
      <c r="AG66" s="63" t="str">
        <f t="shared" si="15"/>
        <v>3F</v>
      </c>
      <c r="AJ66" s="63" t="str">
        <f t="shared" si="16"/>
        <v>3F</v>
      </c>
      <c r="AM66" s="63" t="str">
        <f t="shared" si="17"/>
        <v>3F</v>
      </c>
      <c r="AP66" s="63" t="str">
        <f t="shared" si="18"/>
        <v>3F</v>
      </c>
      <c r="AS66" s="63" t="str">
        <f t="shared" si="19"/>
        <v>3F</v>
      </c>
    </row>
    <row r="67" spans="1:46">
      <c r="A67" s="35" t="str">
        <f t="shared" si="0"/>
        <v>,63</v>
      </c>
      <c r="B67" s="35">
        <v>64</v>
      </c>
      <c r="C67" s="35" t="str">
        <f t="shared" si="1"/>
        <v>40</v>
      </c>
      <c r="D67" s="73">
        <f>ROUND(B67*((100-9.48)/255) +9.48,1)</f>
        <v>32.200000000000003</v>
      </c>
      <c r="E67" s="39" t="str">
        <f>",0x" &amp;DEC2HEX(ROUND(D67,0))</f>
        <v>,0x20</v>
      </c>
      <c r="G67" s="76">
        <f>B67*(1063)/255</f>
        <v>266.79215686274512</v>
      </c>
      <c r="H67" s="153" t="str">
        <f>"," &amp;ROUND(G67/10,0)</f>
        <v>,27</v>
      </c>
      <c r="K67" s="63">
        <v>63</v>
      </c>
      <c r="M67" s="73">
        <f t="shared" si="2"/>
        <v>0.63</v>
      </c>
      <c r="O67" s="72">
        <f t="shared" si="3"/>
        <v>5.0199999999999996</v>
      </c>
      <c r="Q67" s="73">
        <f t="shared" si="4"/>
        <v>-44.9</v>
      </c>
      <c r="R67" s="39" t="str">
        <f t="shared" si="5"/>
        <v>26</v>
      </c>
      <c r="T67" s="77">
        <f t="shared" si="6"/>
        <v>10.199999999999999</v>
      </c>
      <c r="U67" s="155">
        <f t="shared" si="7"/>
        <v>50.2</v>
      </c>
      <c r="V67" s="39" t="str">
        <f t="shared" si="8"/>
        <v>,0x32</v>
      </c>
      <c r="X67" s="77">
        <f t="shared" si="9"/>
        <v>10.199999999999999</v>
      </c>
      <c r="Y67" s="155">
        <f t="shared" si="10"/>
        <v>50.2</v>
      </c>
      <c r="Z67" s="39" t="str">
        <f t="shared" si="11"/>
        <v>,0x32</v>
      </c>
      <c r="AB67" s="73">
        <f t="shared" si="12"/>
        <v>-50</v>
      </c>
      <c r="AD67" s="157">
        <f t="shared" si="13"/>
        <v>0.128</v>
      </c>
      <c r="AE67" s="157">
        <f t="shared" si="14"/>
        <v>32.768999999999998</v>
      </c>
      <c r="AG67" s="63" t="str">
        <f t="shared" si="15"/>
        <v>40</v>
      </c>
      <c r="AJ67" s="63" t="str">
        <f t="shared" si="16"/>
        <v>40</v>
      </c>
      <c r="AK67" s="63" t="s">
        <v>342</v>
      </c>
      <c r="AM67" s="63" t="str">
        <f t="shared" si="17"/>
        <v>40</v>
      </c>
      <c r="AP67" s="63" t="str">
        <f t="shared" si="18"/>
        <v>40</v>
      </c>
      <c r="AQ67" s="63" t="s">
        <v>342</v>
      </c>
      <c r="AS67" s="63" t="str">
        <f t="shared" si="19"/>
        <v>40</v>
      </c>
      <c r="AT67" s="63" t="s">
        <v>399</v>
      </c>
    </row>
    <row r="68" spans="1:46">
      <c r="A68" s="35" t="str">
        <f t="shared" ref="A68:A131" si="20">","&amp;K68</f>
        <v>,63</v>
      </c>
      <c r="B68" s="35">
        <v>65</v>
      </c>
      <c r="C68" s="35" t="str">
        <f t="shared" ref="C68:C131" si="21">DEC2HEX(B68)</f>
        <v>41</v>
      </c>
      <c r="D68" s="73">
        <f>ROUND(B68*((100-9.48)/255) +9.48,1)</f>
        <v>32.6</v>
      </c>
      <c r="E68" s="39" t="str">
        <f>",0x" &amp;DEC2HEX(ROUND(D68,0))</f>
        <v>,0x21</v>
      </c>
      <c r="G68" s="76">
        <f>B68*(1063)/255</f>
        <v>270.96078431372547</v>
      </c>
      <c r="H68" s="153" t="str">
        <f>"," &amp;ROUND(G68/10,0)</f>
        <v>,27</v>
      </c>
      <c r="K68" s="63">
        <v>63</v>
      </c>
      <c r="M68" s="73">
        <f t="shared" ref="M68:M131" si="22">ROUND($B68*(2.5/255),2)</f>
        <v>0.64</v>
      </c>
      <c r="O68" s="72">
        <f t="shared" ref="O68:O131" si="23">ROUND($B68*(20/255),2)</f>
        <v>5.0999999999999996</v>
      </c>
      <c r="Q68" s="73">
        <f t="shared" ref="Q68:Q131" si="24">ROUND($B68*(60/255)-60,1)</f>
        <v>-44.7</v>
      </c>
      <c r="R68" s="39" t="str">
        <f t="shared" ref="R68:R131" si="25">DEC2HEX(ROUND((Q68+64)*2,0))</f>
        <v>27</v>
      </c>
      <c r="T68" s="77">
        <f t="shared" ref="T68:U131" si="26">ROUND($B68*(160/255)-30,1)</f>
        <v>10.8</v>
      </c>
      <c r="U68" s="155">
        <f t="shared" ref="U68:U131" si="27">T68+40</f>
        <v>50.8</v>
      </c>
      <c r="V68" s="39" t="str">
        <f t="shared" ref="V68:V131" si="28">",0x" &amp;DEC2HEX(U68)</f>
        <v>,0x32</v>
      </c>
      <c r="X68" s="77">
        <f t="shared" ref="X68:X131" si="29">ROUND($B68*(160/255)-30,1)</f>
        <v>10.8</v>
      </c>
      <c r="Y68" s="155">
        <f t="shared" ref="Y68:Y131" si="30">X68+40</f>
        <v>50.8</v>
      </c>
      <c r="Z68" s="39" t="str">
        <f t="shared" ref="Z68:Z131" si="31">",0x" &amp;DEC2HEX(Y68)</f>
        <v>,0x32</v>
      </c>
      <c r="AB68" s="73">
        <f t="shared" ref="AB68:AB131" si="32">ROUND($B68*200/255-100,0)</f>
        <v>-49</v>
      </c>
      <c r="AD68" s="157">
        <f t="shared" ref="AD68:AD131" si="33">ROUND($B68*(131.072/65535),3)</f>
        <v>0.13</v>
      </c>
      <c r="AE68" s="157">
        <f t="shared" ref="AE68:AE131" si="34">ROUND($B68*(131.072/65535)*256,3)</f>
        <v>33.280999999999999</v>
      </c>
      <c r="AG68" s="63" t="str">
        <f t="shared" ref="AG68:AG131" si="35">$C68</f>
        <v>41</v>
      </c>
      <c r="AJ68" s="63" t="str">
        <f t="shared" ref="AJ68:AJ131" si="36">$C68</f>
        <v>41</v>
      </c>
      <c r="AM68" s="63" t="str">
        <f t="shared" ref="AM68:AM131" si="37">$C68</f>
        <v>41</v>
      </c>
      <c r="AP68" s="63" t="str">
        <f t="shared" ref="AP68:AP131" si="38">$C68</f>
        <v>41</v>
      </c>
      <c r="AS68" s="63" t="str">
        <f t="shared" ref="AS68:AS131" si="39">$C68</f>
        <v>41</v>
      </c>
    </row>
    <row r="69" spans="1:46">
      <c r="A69" s="35" t="str">
        <f t="shared" si="20"/>
        <v>,64</v>
      </c>
      <c r="B69" s="35">
        <v>66</v>
      </c>
      <c r="C69" s="35" t="str">
        <f t="shared" si="21"/>
        <v>42</v>
      </c>
      <c r="D69" s="73">
        <f>ROUND(B69*((100-9.48)/255) +9.48,1)</f>
        <v>32.9</v>
      </c>
      <c r="E69" s="39" t="str">
        <f>",0x" &amp;DEC2HEX(ROUND(D69,0))</f>
        <v>,0x21</v>
      </c>
      <c r="G69" s="76">
        <f>B69*(1063)/255</f>
        <v>275.12941176470588</v>
      </c>
      <c r="H69" s="153" t="str">
        <f>"," &amp;ROUND(G69/10,0)</f>
        <v>,28</v>
      </c>
      <c r="K69" s="63">
        <v>64</v>
      </c>
      <c r="M69" s="73">
        <f t="shared" si="22"/>
        <v>0.65</v>
      </c>
      <c r="O69" s="72">
        <f t="shared" si="23"/>
        <v>5.18</v>
      </c>
      <c r="Q69" s="73">
        <f t="shared" si="24"/>
        <v>-44.5</v>
      </c>
      <c r="R69" s="39" t="str">
        <f t="shared" si="25"/>
        <v>27</v>
      </c>
      <c r="T69" s="77">
        <f t="shared" si="26"/>
        <v>11.4</v>
      </c>
      <c r="U69" s="155">
        <f t="shared" si="27"/>
        <v>51.4</v>
      </c>
      <c r="V69" s="39" t="str">
        <f t="shared" si="28"/>
        <v>,0x33</v>
      </c>
      <c r="X69" s="77">
        <f t="shared" si="29"/>
        <v>11.4</v>
      </c>
      <c r="Y69" s="155">
        <f t="shared" si="30"/>
        <v>51.4</v>
      </c>
      <c r="Z69" s="39" t="str">
        <f t="shared" si="31"/>
        <v>,0x33</v>
      </c>
      <c r="AB69" s="73">
        <f t="shared" si="32"/>
        <v>-48</v>
      </c>
      <c r="AD69" s="157">
        <f t="shared" si="33"/>
        <v>0.13200000000000001</v>
      </c>
      <c r="AE69" s="157">
        <f t="shared" si="34"/>
        <v>33.792999999999999</v>
      </c>
      <c r="AG69" s="63" t="str">
        <f t="shared" si="35"/>
        <v>42</v>
      </c>
      <c r="AJ69" s="63" t="str">
        <f t="shared" si="36"/>
        <v>42</v>
      </c>
      <c r="AM69" s="63" t="str">
        <f t="shared" si="37"/>
        <v>42</v>
      </c>
      <c r="AP69" s="63" t="str">
        <f t="shared" si="38"/>
        <v>42</v>
      </c>
      <c r="AS69" s="63" t="str">
        <f t="shared" si="39"/>
        <v>42</v>
      </c>
    </row>
    <row r="70" spans="1:46">
      <c r="A70" s="35" t="str">
        <f t="shared" si="20"/>
        <v>,65</v>
      </c>
      <c r="B70" s="35">
        <v>67</v>
      </c>
      <c r="C70" s="35" t="str">
        <f t="shared" si="21"/>
        <v>43</v>
      </c>
      <c r="D70" s="73">
        <f>ROUND(B70*((100-9.48)/255) +9.48,1)</f>
        <v>33.299999999999997</v>
      </c>
      <c r="E70" s="39" t="str">
        <f>",0x" &amp;DEC2HEX(ROUND(D70,0))</f>
        <v>,0x21</v>
      </c>
      <c r="G70" s="76">
        <f>B70*(1063)/255</f>
        <v>279.29803921568629</v>
      </c>
      <c r="H70" s="153" t="str">
        <f>"," &amp;ROUND(G70/10,0)</f>
        <v>,28</v>
      </c>
      <c r="K70" s="63">
        <v>65</v>
      </c>
      <c r="M70" s="73">
        <f t="shared" si="22"/>
        <v>0.66</v>
      </c>
      <c r="O70" s="72">
        <f t="shared" si="23"/>
        <v>5.25</v>
      </c>
      <c r="Q70" s="73">
        <f t="shared" si="24"/>
        <v>-44.2</v>
      </c>
      <c r="R70" s="39" t="str">
        <f t="shared" si="25"/>
        <v>28</v>
      </c>
      <c r="T70" s="77">
        <f t="shared" si="26"/>
        <v>12</v>
      </c>
      <c r="U70" s="155">
        <f t="shared" si="27"/>
        <v>52</v>
      </c>
      <c r="V70" s="39" t="str">
        <f t="shared" si="28"/>
        <v>,0x34</v>
      </c>
      <c r="X70" s="77">
        <f t="shared" si="29"/>
        <v>12</v>
      </c>
      <c r="Y70" s="155">
        <f t="shared" si="30"/>
        <v>52</v>
      </c>
      <c r="Z70" s="39" t="str">
        <f t="shared" si="31"/>
        <v>,0x34</v>
      </c>
      <c r="AB70" s="73">
        <f t="shared" si="32"/>
        <v>-47</v>
      </c>
      <c r="AD70" s="157">
        <f t="shared" si="33"/>
        <v>0.13400000000000001</v>
      </c>
      <c r="AE70" s="157">
        <f t="shared" si="34"/>
        <v>34.305</v>
      </c>
      <c r="AG70" s="63" t="str">
        <f t="shared" si="35"/>
        <v>43</v>
      </c>
      <c r="AJ70" s="63" t="str">
        <f t="shared" si="36"/>
        <v>43</v>
      </c>
      <c r="AM70" s="63" t="str">
        <f t="shared" si="37"/>
        <v>43</v>
      </c>
      <c r="AP70" s="63" t="str">
        <f t="shared" si="38"/>
        <v>43</v>
      </c>
      <c r="AS70" s="63" t="str">
        <f t="shared" si="39"/>
        <v>43</v>
      </c>
    </row>
    <row r="71" spans="1:46">
      <c r="A71" s="35" t="str">
        <f t="shared" si="20"/>
        <v>,66</v>
      </c>
      <c r="B71" s="35">
        <v>68</v>
      </c>
      <c r="C71" s="35" t="str">
        <f t="shared" si="21"/>
        <v>44</v>
      </c>
      <c r="D71" s="73">
        <f>ROUND(B71*((100-9.48)/255) +9.48,1)</f>
        <v>33.6</v>
      </c>
      <c r="E71" s="39" t="str">
        <f>",0x" &amp;DEC2HEX(ROUND(D71,0))</f>
        <v>,0x22</v>
      </c>
      <c r="G71" s="76">
        <f>B71*(1063)/255</f>
        <v>283.46666666666664</v>
      </c>
      <c r="H71" s="153" t="str">
        <f>"," &amp;ROUND(G71/10,0)</f>
        <v>,28</v>
      </c>
      <c r="K71" s="63">
        <v>66</v>
      </c>
      <c r="M71" s="73">
        <f t="shared" si="22"/>
        <v>0.67</v>
      </c>
      <c r="O71" s="72">
        <f t="shared" si="23"/>
        <v>5.33</v>
      </c>
      <c r="Q71" s="73">
        <f t="shared" si="24"/>
        <v>-44</v>
      </c>
      <c r="R71" s="39" t="str">
        <f t="shared" si="25"/>
        <v>28</v>
      </c>
      <c r="T71" s="77">
        <f t="shared" si="26"/>
        <v>12.7</v>
      </c>
      <c r="U71" s="155">
        <f t="shared" si="27"/>
        <v>52.7</v>
      </c>
      <c r="V71" s="39" t="str">
        <f t="shared" si="28"/>
        <v>,0x34</v>
      </c>
      <c r="X71" s="77">
        <f t="shared" si="29"/>
        <v>12.7</v>
      </c>
      <c r="Y71" s="155">
        <f t="shared" si="30"/>
        <v>52.7</v>
      </c>
      <c r="Z71" s="39" t="str">
        <f t="shared" si="31"/>
        <v>,0x34</v>
      </c>
      <c r="AB71" s="73">
        <f t="shared" si="32"/>
        <v>-47</v>
      </c>
      <c r="AD71" s="157">
        <f t="shared" si="33"/>
        <v>0.13600000000000001</v>
      </c>
      <c r="AE71" s="157">
        <f t="shared" si="34"/>
        <v>34.817</v>
      </c>
      <c r="AG71" s="63" t="str">
        <f t="shared" si="35"/>
        <v>44</v>
      </c>
      <c r="AJ71" s="63" t="str">
        <f t="shared" si="36"/>
        <v>44</v>
      </c>
      <c r="AM71" s="63" t="str">
        <f t="shared" si="37"/>
        <v>44</v>
      </c>
      <c r="AP71" s="63" t="str">
        <f t="shared" si="38"/>
        <v>44</v>
      </c>
      <c r="AS71" s="63" t="str">
        <f t="shared" si="39"/>
        <v>44</v>
      </c>
    </row>
    <row r="72" spans="1:46">
      <c r="A72" s="35" t="str">
        <f t="shared" si="20"/>
        <v>,67</v>
      </c>
      <c r="B72" s="35">
        <v>69</v>
      </c>
      <c r="C72" s="35" t="str">
        <f t="shared" si="21"/>
        <v>45</v>
      </c>
      <c r="D72" s="73">
        <f>ROUND(B72*((100-9.48)/255) +9.48,1)</f>
        <v>34</v>
      </c>
      <c r="E72" s="39" t="str">
        <f>",0x" &amp;DEC2HEX(ROUND(D72,0))</f>
        <v>,0x22</v>
      </c>
      <c r="G72" s="76">
        <f>B72*(1063)/255</f>
        <v>287.63529411764705</v>
      </c>
      <c r="H72" s="153" t="str">
        <f>"," &amp;ROUND(G72/10,0)</f>
        <v>,29</v>
      </c>
      <c r="K72" s="63">
        <v>67</v>
      </c>
      <c r="M72" s="73">
        <f t="shared" si="22"/>
        <v>0.68</v>
      </c>
      <c r="O72" s="72">
        <f t="shared" si="23"/>
        <v>5.41</v>
      </c>
      <c r="Q72" s="73">
        <f t="shared" si="24"/>
        <v>-43.8</v>
      </c>
      <c r="R72" s="39" t="str">
        <f t="shared" si="25"/>
        <v>28</v>
      </c>
      <c r="T72" s="77">
        <f t="shared" si="26"/>
        <v>13.3</v>
      </c>
      <c r="U72" s="155">
        <f t="shared" si="27"/>
        <v>53.3</v>
      </c>
      <c r="V72" s="39" t="str">
        <f t="shared" si="28"/>
        <v>,0x35</v>
      </c>
      <c r="X72" s="77">
        <f t="shared" si="29"/>
        <v>13.3</v>
      </c>
      <c r="Y72" s="155">
        <f t="shared" si="30"/>
        <v>53.3</v>
      </c>
      <c r="Z72" s="39" t="str">
        <f t="shared" si="31"/>
        <v>,0x35</v>
      </c>
      <c r="AB72" s="73">
        <f t="shared" si="32"/>
        <v>-46</v>
      </c>
      <c r="AD72" s="157">
        <f t="shared" si="33"/>
        <v>0.13800000000000001</v>
      </c>
      <c r="AE72" s="157">
        <f t="shared" si="34"/>
        <v>35.329000000000001</v>
      </c>
      <c r="AG72" s="63" t="str">
        <f t="shared" si="35"/>
        <v>45</v>
      </c>
      <c r="AJ72" s="63" t="str">
        <f t="shared" si="36"/>
        <v>45</v>
      </c>
      <c r="AM72" s="63" t="str">
        <f t="shared" si="37"/>
        <v>45</v>
      </c>
      <c r="AP72" s="63" t="str">
        <f t="shared" si="38"/>
        <v>45</v>
      </c>
      <c r="AS72" s="63" t="str">
        <f t="shared" si="39"/>
        <v>45</v>
      </c>
    </row>
    <row r="73" spans="1:46">
      <c r="A73" s="35" t="str">
        <f t="shared" si="20"/>
        <v>,68</v>
      </c>
      <c r="B73" s="35">
        <v>70</v>
      </c>
      <c r="C73" s="35" t="str">
        <f t="shared" si="21"/>
        <v>46</v>
      </c>
      <c r="D73" s="73">
        <f>ROUND(B73*((100-9.48)/255) +9.48,1)</f>
        <v>34.299999999999997</v>
      </c>
      <c r="E73" s="39" t="str">
        <f>",0x" &amp;DEC2HEX(ROUND(D73,0))</f>
        <v>,0x22</v>
      </c>
      <c r="G73" s="76">
        <f>B73*(1063)/255</f>
        <v>291.80392156862746</v>
      </c>
      <c r="H73" s="153" t="str">
        <f>"," &amp;ROUND(G73/10,0)</f>
        <v>,29</v>
      </c>
      <c r="K73" s="63">
        <v>68</v>
      </c>
      <c r="M73" s="73">
        <f t="shared" si="22"/>
        <v>0.69</v>
      </c>
      <c r="O73" s="72">
        <f t="shared" si="23"/>
        <v>5.49</v>
      </c>
      <c r="Q73" s="73">
        <f t="shared" si="24"/>
        <v>-43.5</v>
      </c>
      <c r="R73" s="39" t="str">
        <f t="shared" si="25"/>
        <v>29</v>
      </c>
      <c r="T73" s="77">
        <f t="shared" si="26"/>
        <v>13.9</v>
      </c>
      <c r="U73" s="155">
        <f t="shared" si="27"/>
        <v>53.9</v>
      </c>
      <c r="V73" s="39" t="str">
        <f t="shared" si="28"/>
        <v>,0x35</v>
      </c>
      <c r="X73" s="77">
        <f t="shared" si="29"/>
        <v>13.9</v>
      </c>
      <c r="Y73" s="155">
        <f t="shared" si="30"/>
        <v>53.9</v>
      </c>
      <c r="Z73" s="39" t="str">
        <f t="shared" si="31"/>
        <v>,0x35</v>
      </c>
      <c r="AB73" s="73">
        <f t="shared" si="32"/>
        <v>-45</v>
      </c>
      <c r="AD73" s="157">
        <f t="shared" si="33"/>
        <v>0.14000000000000001</v>
      </c>
      <c r="AE73" s="157">
        <f t="shared" si="34"/>
        <v>35.841000000000001</v>
      </c>
      <c r="AG73" s="63" t="str">
        <f t="shared" si="35"/>
        <v>46</v>
      </c>
      <c r="AJ73" s="63" t="str">
        <f t="shared" si="36"/>
        <v>46</v>
      </c>
      <c r="AM73" s="63" t="str">
        <f t="shared" si="37"/>
        <v>46</v>
      </c>
      <c r="AP73" s="63" t="str">
        <f t="shared" si="38"/>
        <v>46</v>
      </c>
      <c r="AS73" s="63" t="str">
        <f t="shared" si="39"/>
        <v>46</v>
      </c>
    </row>
    <row r="74" spans="1:46">
      <c r="A74" s="35" t="str">
        <f t="shared" si="20"/>
        <v>,69</v>
      </c>
      <c r="B74" s="35">
        <v>71</v>
      </c>
      <c r="C74" s="35" t="str">
        <f t="shared" si="21"/>
        <v>47</v>
      </c>
      <c r="D74" s="73">
        <f>ROUND(B74*((100-9.48)/255) +9.48,1)</f>
        <v>34.700000000000003</v>
      </c>
      <c r="E74" s="39" t="str">
        <f>",0x" &amp;DEC2HEX(ROUND(D74,0))</f>
        <v>,0x23</v>
      </c>
      <c r="G74" s="76">
        <f>B74*(1063)/255</f>
        <v>295.97254901960787</v>
      </c>
      <c r="H74" s="153" t="str">
        <f>"," &amp;ROUND(G74/10,0)</f>
        <v>,30</v>
      </c>
      <c r="K74" s="63">
        <v>69</v>
      </c>
      <c r="M74" s="73">
        <f t="shared" si="22"/>
        <v>0.7</v>
      </c>
      <c r="O74" s="72">
        <f t="shared" si="23"/>
        <v>5.57</v>
      </c>
      <c r="Q74" s="73">
        <f t="shared" si="24"/>
        <v>-43.3</v>
      </c>
      <c r="R74" s="39" t="str">
        <f t="shared" si="25"/>
        <v>29</v>
      </c>
      <c r="T74" s="77">
        <f t="shared" si="26"/>
        <v>14.5</v>
      </c>
      <c r="U74" s="155">
        <f t="shared" si="27"/>
        <v>54.5</v>
      </c>
      <c r="V74" s="39" t="str">
        <f t="shared" si="28"/>
        <v>,0x36</v>
      </c>
      <c r="X74" s="77">
        <f t="shared" si="29"/>
        <v>14.5</v>
      </c>
      <c r="Y74" s="155">
        <f t="shared" si="30"/>
        <v>54.5</v>
      </c>
      <c r="Z74" s="39" t="str">
        <f t="shared" si="31"/>
        <v>,0x36</v>
      </c>
      <c r="AB74" s="73">
        <f t="shared" si="32"/>
        <v>-44</v>
      </c>
      <c r="AD74" s="157">
        <f t="shared" si="33"/>
        <v>0.14199999999999999</v>
      </c>
      <c r="AE74" s="157">
        <f t="shared" si="34"/>
        <v>36.353000000000002</v>
      </c>
      <c r="AG74" s="63" t="str">
        <f t="shared" si="35"/>
        <v>47</v>
      </c>
      <c r="AJ74" s="63" t="str">
        <f t="shared" si="36"/>
        <v>47</v>
      </c>
      <c r="AM74" s="63" t="str">
        <f t="shared" si="37"/>
        <v>47</v>
      </c>
      <c r="AP74" s="63" t="str">
        <f t="shared" si="38"/>
        <v>47</v>
      </c>
      <c r="AS74" s="63" t="str">
        <f t="shared" si="39"/>
        <v>47</v>
      </c>
    </row>
    <row r="75" spans="1:46">
      <c r="A75" s="35" t="str">
        <f t="shared" si="20"/>
        <v>,70</v>
      </c>
      <c r="B75" s="35">
        <v>72</v>
      </c>
      <c r="C75" s="35" t="str">
        <f t="shared" si="21"/>
        <v>48</v>
      </c>
      <c r="D75" s="73">
        <f>ROUND(B75*((100-9.48)/255) +9.48,1)</f>
        <v>35</v>
      </c>
      <c r="E75" s="39" t="str">
        <f>",0x" &amp;DEC2HEX(ROUND(D75,0))</f>
        <v>,0x23</v>
      </c>
      <c r="G75" s="76">
        <f>B75*(1063)/255</f>
        <v>300.14117647058822</v>
      </c>
      <c r="H75" s="153" t="str">
        <f>"," &amp;ROUND(G75/10,0)</f>
        <v>,30</v>
      </c>
      <c r="K75" s="63">
        <v>70</v>
      </c>
      <c r="M75" s="73">
        <f t="shared" si="22"/>
        <v>0.71</v>
      </c>
      <c r="O75" s="72">
        <f t="shared" si="23"/>
        <v>5.65</v>
      </c>
      <c r="Q75" s="73">
        <f t="shared" si="24"/>
        <v>-43.1</v>
      </c>
      <c r="R75" s="39" t="str">
        <f t="shared" si="25"/>
        <v>2A</v>
      </c>
      <c r="T75" s="77">
        <f t="shared" si="26"/>
        <v>15.2</v>
      </c>
      <c r="U75" s="155">
        <f t="shared" si="27"/>
        <v>55.2</v>
      </c>
      <c r="V75" s="39" t="str">
        <f t="shared" si="28"/>
        <v>,0x37</v>
      </c>
      <c r="X75" s="77">
        <f t="shared" si="29"/>
        <v>15.2</v>
      </c>
      <c r="Y75" s="155">
        <f t="shared" si="30"/>
        <v>55.2</v>
      </c>
      <c r="Z75" s="39" t="str">
        <f t="shared" si="31"/>
        <v>,0x37</v>
      </c>
      <c r="AB75" s="73">
        <f t="shared" si="32"/>
        <v>-44</v>
      </c>
      <c r="AD75" s="157">
        <f t="shared" si="33"/>
        <v>0.14399999999999999</v>
      </c>
      <c r="AE75" s="157">
        <f t="shared" si="34"/>
        <v>36.865000000000002</v>
      </c>
      <c r="AG75" s="63" t="str">
        <f t="shared" si="35"/>
        <v>48</v>
      </c>
      <c r="AJ75" s="63" t="str">
        <f t="shared" si="36"/>
        <v>48</v>
      </c>
      <c r="AM75" s="63" t="str">
        <f t="shared" si="37"/>
        <v>48</v>
      </c>
      <c r="AP75" s="63" t="str">
        <f t="shared" si="38"/>
        <v>48</v>
      </c>
      <c r="AS75" s="63" t="str">
        <f t="shared" si="39"/>
        <v>48</v>
      </c>
    </row>
    <row r="76" spans="1:46">
      <c r="A76" s="35" t="str">
        <f t="shared" si="20"/>
        <v>,71</v>
      </c>
      <c r="B76" s="35">
        <v>73</v>
      </c>
      <c r="C76" s="35" t="str">
        <f t="shared" si="21"/>
        <v>49</v>
      </c>
      <c r="D76" s="73">
        <f>ROUND(B76*((100-9.48)/255) +9.48,1)</f>
        <v>35.4</v>
      </c>
      <c r="E76" s="39" t="str">
        <f>",0x" &amp;DEC2HEX(ROUND(D76,0))</f>
        <v>,0x23</v>
      </c>
      <c r="G76" s="76">
        <f>B76*(1063)/255</f>
        <v>304.30980392156863</v>
      </c>
      <c r="H76" s="153" t="str">
        <f>"," &amp;ROUND(G76/10,0)</f>
        <v>,30</v>
      </c>
      <c r="K76" s="63">
        <v>71</v>
      </c>
      <c r="M76" s="73">
        <f t="shared" si="22"/>
        <v>0.72</v>
      </c>
      <c r="O76" s="72">
        <f t="shared" si="23"/>
        <v>5.73</v>
      </c>
      <c r="Q76" s="73">
        <f t="shared" si="24"/>
        <v>-42.8</v>
      </c>
      <c r="R76" s="39" t="str">
        <f t="shared" si="25"/>
        <v>2A</v>
      </c>
      <c r="T76" s="77">
        <f t="shared" si="26"/>
        <v>15.8</v>
      </c>
      <c r="U76" s="155">
        <f t="shared" si="27"/>
        <v>55.8</v>
      </c>
      <c r="V76" s="39" t="str">
        <f t="shared" si="28"/>
        <v>,0x37</v>
      </c>
      <c r="X76" s="77">
        <f t="shared" si="29"/>
        <v>15.8</v>
      </c>
      <c r="Y76" s="155">
        <f t="shared" si="30"/>
        <v>55.8</v>
      </c>
      <c r="Z76" s="39" t="str">
        <f t="shared" si="31"/>
        <v>,0x37</v>
      </c>
      <c r="AB76" s="73">
        <f t="shared" si="32"/>
        <v>-43</v>
      </c>
      <c r="AD76" s="157">
        <f t="shared" si="33"/>
        <v>0.14599999999999999</v>
      </c>
      <c r="AE76" s="157">
        <f t="shared" si="34"/>
        <v>37.377000000000002</v>
      </c>
      <c r="AG76" s="63" t="str">
        <f t="shared" si="35"/>
        <v>49</v>
      </c>
      <c r="AJ76" s="63" t="str">
        <f t="shared" si="36"/>
        <v>49</v>
      </c>
      <c r="AM76" s="63" t="str">
        <f t="shared" si="37"/>
        <v>49</v>
      </c>
      <c r="AP76" s="63" t="str">
        <f t="shared" si="38"/>
        <v>49</v>
      </c>
      <c r="AS76" s="63" t="str">
        <f t="shared" si="39"/>
        <v>49</v>
      </c>
    </row>
    <row r="77" spans="1:46">
      <c r="A77" s="35" t="str">
        <f t="shared" si="20"/>
        <v>,72</v>
      </c>
      <c r="B77" s="35">
        <v>74</v>
      </c>
      <c r="C77" s="35" t="str">
        <f t="shared" si="21"/>
        <v>4A</v>
      </c>
      <c r="D77" s="73">
        <f>ROUND(B77*((100-9.48)/255) +9.48,1)</f>
        <v>35.700000000000003</v>
      </c>
      <c r="E77" s="39" t="str">
        <f>",0x" &amp;DEC2HEX(ROUND(D77,0))</f>
        <v>,0x24</v>
      </c>
      <c r="G77" s="76">
        <f>B77*(1063)/255</f>
        <v>308.47843137254904</v>
      </c>
      <c r="H77" s="153" t="str">
        <f>"," &amp;ROUND(G77/10,0)</f>
        <v>,31</v>
      </c>
      <c r="K77" s="63">
        <v>72</v>
      </c>
      <c r="M77" s="73">
        <f t="shared" si="22"/>
        <v>0.73</v>
      </c>
      <c r="O77" s="72">
        <f t="shared" si="23"/>
        <v>5.8</v>
      </c>
      <c r="Q77" s="73">
        <f t="shared" si="24"/>
        <v>-42.6</v>
      </c>
      <c r="R77" s="39" t="str">
        <f t="shared" si="25"/>
        <v>2B</v>
      </c>
      <c r="T77" s="77">
        <f t="shared" si="26"/>
        <v>16.399999999999999</v>
      </c>
      <c r="U77" s="155">
        <f t="shared" si="27"/>
        <v>56.4</v>
      </c>
      <c r="V77" s="39" t="str">
        <f t="shared" si="28"/>
        <v>,0x38</v>
      </c>
      <c r="X77" s="77">
        <f t="shared" si="29"/>
        <v>16.399999999999999</v>
      </c>
      <c r="Y77" s="155">
        <f t="shared" si="30"/>
        <v>56.4</v>
      </c>
      <c r="Z77" s="39" t="str">
        <f t="shared" si="31"/>
        <v>,0x38</v>
      </c>
      <c r="AB77" s="73">
        <f t="shared" si="32"/>
        <v>-42</v>
      </c>
      <c r="AD77" s="157">
        <f t="shared" si="33"/>
        <v>0.14799999999999999</v>
      </c>
      <c r="AE77" s="157">
        <f t="shared" si="34"/>
        <v>37.889000000000003</v>
      </c>
      <c r="AG77" s="63" t="str">
        <f t="shared" si="35"/>
        <v>4A</v>
      </c>
      <c r="AJ77" s="63" t="str">
        <f t="shared" si="36"/>
        <v>4A</v>
      </c>
      <c r="AM77" s="63" t="str">
        <f t="shared" si="37"/>
        <v>4A</v>
      </c>
      <c r="AP77" s="63" t="str">
        <f t="shared" si="38"/>
        <v>4A</v>
      </c>
      <c r="AS77" s="63" t="str">
        <f t="shared" si="39"/>
        <v>4A</v>
      </c>
    </row>
    <row r="78" spans="1:46">
      <c r="A78" s="35" t="str">
        <f t="shared" si="20"/>
        <v>,73</v>
      </c>
      <c r="B78" s="35">
        <v>75</v>
      </c>
      <c r="C78" s="35" t="str">
        <f t="shared" si="21"/>
        <v>4B</v>
      </c>
      <c r="D78" s="73">
        <f>ROUND(B78*((100-9.48)/255) +9.48,1)</f>
        <v>36.1</v>
      </c>
      <c r="E78" s="39" t="str">
        <f>",0x" &amp;DEC2HEX(ROUND(D78,0))</f>
        <v>,0x24</v>
      </c>
      <c r="G78" s="76">
        <f>B78*(1063)/255</f>
        <v>312.64705882352939</v>
      </c>
      <c r="H78" s="153" t="str">
        <f>"," &amp;ROUND(G78/10,0)</f>
        <v>,31</v>
      </c>
      <c r="K78" s="63">
        <v>73</v>
      </c>
      <c r="M78" s="73">
        <f t="shared" si="22"/>
        <v>0.74</v>
      </c>
      <c r="O78" s="72">
        <f t="shared" si="23"/>
        <v>5.88</v>
      </c>
      <c r="Q78" s="73">
        <f t="shared" si="24"/>
        <v>-42.4</v>
      </c>
      <c r="R78" s="39" t="str">
        <f t="shared" si="25"/>
        <v>2B</v>
      </c>
      <c r="T78" s="77">
        <f t="shared" si="26"/>
        <v>17.100000000000001</v>
      </c>
      <c r="U78" s="155">
        <f t="shared" si="27"/>
        <v>57.1</v>
      </c>
      <c r="V78" s="39" t="str">
        <f t="shared" si="28"/>
        <v>,0x39</v>
      </c>
      <c r="X78" s="77">
        <f t="shared" si="29"/>
        <v>17.100000000000001</v>
      </c>
      <c r="Y78" s="155">
        <f t="shared" si="30"/>
        <v>57.1</v>
      </c>
      <c r="Z78" s="39" t="str">
        <f t="shared" si="31"/>
        <v>,0x39</v>
      </c>
      <c r="AB78" s="73">
        <f t="shared" si="32"/>
        <v>-41</v>
      </c>
      <c r="AD78" s="157">
        <f t="shared" si="33"/>
        <v>0.15</v>
      </c>
      <c r="AE78" s="157">
        <f t="shared" si="34"/>
        <v>38.401000000000003</v>
      </c>
      <c r="AG78" s="63" t="str">
        <f t="shared" si="35"/>
        <v>4B</v>
      </c>
      <c r="AJ78" s="63" t="str">
        <f t="shared" si="36"/>
        <v>4B</v>
      </c>
      <c r="AM78" s="63" t="str">
        <f t="shared" si="37"/>
        <v>4B</v>
      </c>
      <c r="AP78" s="63" t="str">
        <f t="shared" si="38"/>
        <v>4B</v>
      </c>
      <c r="AS78" s="63" t="str">
        <f t="shared" si="39"/>
        <v>4B</v>
      </c>
    </row>
    <row r="79" spans="1:46">
      <c r="A79" s="35" t="str">
        <f t="shared" si="20"/>
        <v>,74</v>
      </c>
      <c r="B79" s="35">
        <v>76</v>
      </c>
      <c r="C79" s="35" t="str">
        <f t="shared" si="21"/>
        <v>4C</v>
      </c>
      <c r="D79" s="73">
        <f>ROUND(B79*((100-9.48)/255) +9.48,1)</f>
        <v>36.5</v>
      </c>
      <c r="E79" s="39" t="str">
        <f>",0x" &amp;DEC2HEX(ROUND(D79,0))</f>
        <v>,0x25</v>
      </c>
      <c r="G79" s="76">
        <f>B79*(1063)/255</f>
        <v>316.8156862745098</v>
      </c>
      <c r="H79" s="153" t="str">
        <f>"," &amp;ROUND(G79/10,0)</f>
        <v>,32</v>
      </c>
      <c r="K79" s="63">
        <v>74</v>
      </c>
      <c r="M79" s="73">
        <f t="shared" si="22"/>
        <v>0.75</v>
      </c>
      <c r="O79" s="72">
        <f t="shared" si="23"/>
        <v>5.96</v>
      </c>
      <c r="Q79" s="73">
        <f t="shared" si="24"/>
        <v>-42.1</v>
      </c>
      <c r="R79" s="39" t="str">
        <f t="shared" si="25"/>
        <v>2C</v>
      </c>
      <c r="T79" s="77">
        <f t="shared" si="26"/>
        <v>17.7</v>
      </c>
      <c r="U79" s="155">
        <f t="shared" si="27"/>
        <v>57.7</v>
      </c>
      <c r="V79" s="39" t="str">
        <f t="shared" si="28"/>
        <v>,0x39</v>
      </c>
      <c r="X79" s="77">
        <f t="shared" si="29"/>
        <v>17.7</v>
      </c>
      <c r="Y79" s="155">
        <f t="shared" si="30"/>
        <v>57.7</v>
      </c>
      <c r="Z79" s="39" t="str">
        <f t="shared" si="31"/>
        <v>,0x39</v>
      </c>
      <c r="AB79" s="73">
        <f t="shared" si="32"/>
        <v>-40</v>
      </c>
      <c r="AD79" s="157">
        <f t="shared" si="33"/>
        <v>0.152</v>
      </c>
      <c r="AE79" s="157">
        <f t="shared" si="34"/>
        <v>38.912999999999997</v>
      </c>
      <c r="AG79" s="63" t="str">
        <f t="shared" si="35"/>
        <v>4C</v>
      </c>
      <c r="AJ79" s="63" t="str">
        <f t="shared" si="36"/>
        <v>4C</v>
      </c>
      <c r="AM79" s="63" t="str">
        <f t="shared" si="37"/>
        <v>4C</v>
      </c>
      <c r="AP79" s="63" t="str">
        <f t="shared" si="38"/>
        <v>4C</v>
      </c>
      <c r="AS79" s="63" t="str">
        <f t="shared" si="39"/>
        <v>4C</v>
      </c>
    </row>
    <row r="80" spans="1:46">
      <c r="A80" s="35" t="str">
        <f t="shared" si="20"/>
        <v>,75</v>
      </c>
      <c r="B80" s="35">
        <v>77</v>
      </c>
      <c r="C80" s="35" t="str">
        <f t="shared" si="21"/>
        <v>4D</v>
      </c>
      <c r="D80" s="73">
        <f>ROUND(B80*((100-9.48)/255) +9.48,1)</f>
        <v>36.799999999999997</v>
      </c>
      <c r="E80" s="39" t="str">
        <f>",0x" &amp;DEC2HEX(ROUND(D80,0))</f>
        <v>,0x25</v>
      </c>
      <c r="G80" s="76">
        <f>B80*(1063)/255</f>
        <v>320.98431372549021</v>
      </c>
      <c r="H80" s="153" t="str">
        <f>"," &amp;ROUND(G80/10,0)</f>
        <v>,32</v>
      </c>
      <c r="K80" s="63">
        <v>75</v>
      </c>
      <c r="M80" s="73">
        <f t="shared" si="22"/>
        <v>0.75</v>
      </c>
      <c r="O80" s="72">
        <f t="shared" si="23"/>
        <v>6.04</v>
      </c>
      <c r="Q80" s="73">
        <f t="shared" si="24"/>
        <v>-41.9</v>
      </c>
      <c r="R80" s="39" t="str">
        <f t="shared" si="25"/>
        <v>2C</v>
      </c>
      <c r="T80" s="77">
        <f t="shared" si="26"/>
        <v>18.3</v>
      </c>
      <c r="U80" s="155">
        <f t="shared" si="27"/>
        <v>58.3</v>
      </c>
      <c r="V80" s="39" t="str">
        <f t="shared" si="28"/>
        <v>,0x3A</v>
      </c>
      <c r="X80" s="77">
        <f t="shared" si="29"/>
        <v>18.3</v>
      </c>
      <c r="Y80" s="155">
        <f t="shared" si="30"/>
        <v>58.3</v>
      </c>
      <c r="Z80" s="39" t="str">
        <f t="shared" si="31"/>
        <v>,0x3A</v>
      </c>
      <c r="AB80" s="73">
        <f t="shared" si="32"/>
        <v>-40</v>
      </c>
      <c r="AD80" s="157">
        <f t="shared" si="33"/>
        <v>0.154</v>
      </c>
      <c r="AE80" s="157">
        <f t="shared" si="34"/>
        <v>39.424999999999997</v>
      </c>
      <c r="AG80" s="63" t="str">
        <f t="shared" si="35"/>
        <v>4D</v>
      </c>
      <c r="AJ80" s="63" t="str">
        <f t="shared" si="36"/>
        <v>4D</v>
      </c>
      <c r="AM80" s="63" t="str">
        <f t="shared" si="37"/>
        <v>4D</v>
      </c>
      <c r="AP80" s="63" t="str">
        <f t="shared" si="38"/>
        <v>4D</v>
      </c>
      <c r="AS80" s="63" t="str">
        <f t="shared" si="39"/>
        <v>4D</v>
      </c>
    </row>
    <row r="81" spans="1:45">
      <c r="A81" s="35" t="str">
        <f t="shared" si="20"/>
        <v>,76</v>
      </c>
      <c r="B81" s="35">
        <v>78</v>
      </c>
      <c r="C81" s="35" t="str">
        <f t="shared" si="21"/>
        <v>4E</v>
      </c>
      <c r="D81" s="73">
        <f>ROUND(B81*((100-9.48)/255) +9.48,1)</f>
        <v>37.200000000000003</v>
      </c>
      <c r="E81" s="39" t="str">
        <f>",0x" &amp;DEC2HEX(ROUND(D81,0))</f>
        <v>,0x25</v>
      </c>
      <c r="G81" s="76">
        <f>B81*(1063)/255</f>
        <v>325.15294117647056</v>
      </c>
      <c r="H81" s="153" t="str">
        <f>"," &amp;ROUND(G81/10,0)</f>
        <v>,33</v>
      </c>
      <c r="K81" s="63">
        <v>76</v>
      </c>
      <c r="M81" s="73">
        <f t="shared" si="22"/>
        <v>0.76</v>
      </c>
      <c r="O81" s="72">
        <f t="shared" si="23"/>
        <v>6.12</v>
      </c>
      <c r="Q81" s="73">
        <f t="shared" si="24"/>
        <v>-41.6</v>
      </c>
      <c r="R81" s="39" t="str">
        <f t="shared" si="25"/>
        <v>2D</v>
      </c>
      <c r="T81" s="77">
        <f t="shared" si="26"/>
        <v>18.899999999999999</v>
      </c>
      <c r="U81" s="155">
        <f t="shared" si="27"/>
        <v>58.9</v>
      </c>
      <c r="V81" s="39" t="str">
        <f t="shared" si="28"/>
        <v>,0x3A</v>
      </c>
      <c r="X81" s="77">
        <f t="shared" si="29"/>
        <v>18.899999999999999</v>
      </c>
      <c r="Y81" s="155">
        <f t="shared" si="30"/>
        <v>58.9</v>
      </c>
      <c r="Z81" s="39" t="str">
        <f t="shared" si="31"/>
        <v>,0x3A</v>
      </c>
      <c r="AB81" s="73">
        <f t="shared" si="32"/>
        <v>-39</v>
      </c>
      <c r="AD81" s="157">
        <f t="shared" si="33"/>
        <v>0.156</v>
      </c>
      <c r="AE81" s="157">
        <f t="shared" si="34"/>
        <v>39.936999999999998</v>
      </c>
      <c r="AG81" s="63" t="str">
        <f t="shared" si="35"/>
        <v>4E</v>
      </c>
      <c r="AJ81" s="63" t="str">
        <f t="shared" si="36"/>
        <v>4E</v>
      </c>
      <c r="AM81" s="63" t="str">
        <f t="shared" si="37"/>
        <v>4E</v>
      </c>
      <c r="AP81" s="63" t="str">
        <f t="shared" si="38"/>
        <v>4E</v>
      </c>
      <c r="AS81" s="63" t="str">
        <f t="shared" si="39"/>
        <v>4E</v>
      </c>
    </row>
    <row r="82" spans="1:45">
      <c r="A82" s="35" t="str">
        <f t="shared" si="20"/>
        <v>,77</v>
      </c>
      <c r="B82" s="35">
        <v>79</v>
      </c>
      <c r="C82" s="35" t="str">
        <f t="shared" si="21"/>
        <v>4F</v>
      </c>
      <c r="D82" s="73">
        <f>ROUND(B82*((100-9.48)/255) +9.48,1)</f>
        <v>37.5</v>
      </c>
      <c r="E82" s="39" t="str">
        <f>",0x" &amp;DEC2HEX(ROUND(D82,0))</f>
        <v>,0x26</v>
      </c>
      <c r="G82" s="76">
        <f>B82*(1063)/255</f>
        <v>329.32156862745097</v>
      </c>
      <c r="H82" s="153" t="str">
        <f>"," &amp;ROUND(G82/10,0)</f>
        <v>,33</v>
      </c>
      <c r="K82" s="63">
        <v>77</v>
      </c>
      <c r="M82" s="73">
        <f t="shared" si="22"/>
        <v>0.77</v>
      </c>
      <c r="O82" s="72">
        <f t="shared" si="23"/>
        <v>6.2</v>
      </c>
      <c r="Q82" s="73">
        <f t="shared" si="24"/>
        <v>-41.4</v>
      </c>
      <c r="R82" s="39" t="str">
        <f t="shared" si="25"/>
        <v>2D</v>
      </c>
      <c r="T82" s="77">
        <f t="shared" si="26"/>
        <v>19.600000000000001</v>
      </c>
      <c r="U82" s="155">
        <f t="shared" si="27"/>
        <v>59.6</v>
      </c>
      <c r="V82" s="39" t="str">
        <f t="shared" si="28"/>
        <v>,0x3B</v>
      </c>
      <c r="X82" s="77">
        <f t="shared" si="29"/>
        <v>19.600000000000001</v>
      </c>
      <c r="Y82" s="155">
        <f t="shared" si="30"/>
        <v>59.6</v>
      </c>
      <c r="Z82" s="39" t="str">
        <f t="shared" si="31"/>
        <v>,0x3B</v>
      </c>
      <c r="AB82" s="73">
        <f t="shared" si="32"/>
        <v>-38</v>
      </c>
      <c r="AD82" s="157">
        <f t="shared" si="33"/>
        <v>0.158</v>
      </c>
      <c r="AE82" s="157">
        <f t="shared" si="34"/>
        <v>40.448999999999998</v>
      </c>
      <c r="AG82" s="63" t="str">
        <f t="shared" si="35"/>
        <v>4F</v>
      </c>
      <c r="AJ82" s="63" t="str">
        <f t="shared" si="36"/>
        <v>4F</v>
      </c>
      <c r="AM82" s="63" t="str">
        <f t="shared" si="37"/>
        <v>4F</v>
      </c>
      <c r="AP82" s="63" t="str">
        <f t="shared" si="38"/>
        <v>4F</v>
      </c>
      <c r="AS82" s="63" t="str">
        <f t="shared" si="39"/>
        <v>4F</v>
      </c>
    </row>
    <row r="83" spans="1:45">
      <c r="A83" s="35" t="str">
        <f t="shared" si="20"/>
        <v>,78</v>
      </c>
      <c r="B83" s="35">
        <v>80</v>
      </c>
      <c r="C83" s="35" t="str">
        <f t="shared" si="21"/>
        <v>50</v>
      </c>
      <c r="D83" s="73">
        <f>ROUND(B83*((100-9.48)/255) +9.48,1)</f>
        <v>37.9</v>
      </c>
      <c r="E83" s="39" t="str">
        <f>",0x" &amp;DEC2HEX(ROUND(D83,0))</f>
        <v>,0x26</v>
      </c>
      <c r="G83" s="76">
        <f>B83*(1063)/255</f>
        <v>333.49019607843138</v>
      </c>
      <c r="H83" s="153" t="str">
        <f>"," &amp;ROUND(G83/10,0)</f>
        <v>,33</v>
      </c>
      <c r="K83" s="63">
        <v>78</v>
      </c>
      <c r="M83" s="73">
        <f t="shared" si="22"/>
        <v>0.78</v>
      </c>
      <c r="O83" s="72">
        <f t="shared" si="23"/>
        <v>6.27</v>
      </c>
      <c r="Q83" s="73">
        <f t="shared" si="24"/>
        <v>-41.2</v>
      </c>
      <c r="R83" s="39" t="str">
        <f t="shared" si="25"/>
        <v>2E</v>
      </c>
      <c r="T83" s="77">
        <f t="shared" si="26"/>
        <v>20.2</v>
      </c>
      <c r="U83" s="155">
        <f t="shared" si="27"/>
        <v>60.2</v>
      </c>
      <c r="V83" s="39" t="str">
        <f t="shared" si="28"/>
        <v>,0x3C</v>
      </c>
      <c r="X83" s="77">
        <f t="shared" si="29"/>
        <v>20.2</v>
      </c>
      <c r="Y83" s="155">
        <f t="shared" si="30"/>
        <v>60.2</v>
      </c>
      <c r="Z83" s="39" t="str">
        <f t="shared" si="31"/>
        <v>,0x3C</v>
      </c>
      <c r="AB83" s="73">
        <f t="shared" si="32"/>
        <v>-37</v>
      </c>
      <c r="AD83" s="157">
        <f t="shared" si="33"/>
        <v>0.16</v>
      </c>
      <c r="AE83" s="157">
        <f t="shared" si="34"/>
        <v>40.960999999999999</v>
      </c>
      <c r="AG83" s="63" t="str">
        <f t="shared" si="35"/>
        <v>50</v>
      </c>
      <c r="AJ83" s="63" t="str">
        <f t="shared" si="36"/>
        <v>50</v>
      </c>
      <c r="AM83" s="63" t="str">
        <f t="shared" si="37"/>
        <v>50</v>
      </c>
      <c r="AP83" s="63" t="str">
        <f t="shared" si="38"/>
        <v>50</v>
      </c>
      <c r="AS83" s="63" t="str">
        <f t="shared" si="39"/>
        <v>50</v>
      </c>
    </row>
    <row r="84" spans="1:45">
      <c r="A84" s="35" t="str">
        <f t="shared" si="20"/>
        <v>,79</v>
      </c>
      <c r="B84" s="35">
        <v>81</v>
      </c>
      <c r="C84" s="35" t="str">
        <f t="shared" si="21"/>
        <v>51</v>
      </c>
      <c r="D84" s="73">
        <f>ROUND(B84*((100-9.48)/255) +9.48,1)</f>
        <v>38.200000000000003</v>
      </c>
      <c r="E84" s="39" t="str">
        <f>",0x" &amp;DEC2HEX(ROUND(D84,0))</f>
        <v>,0x26</v>
      </c>
      <c r="G84" s="76">
        <f>B84*(1063)/255</f>
        <v>337.65882352941179</v>
      </c>
      <c r="H84" s="153" t="str">
        <f>"," &amp;ROUND(G84/10,0)</f>
        <v>,34</v>
      </c>
      <c r="K84" s="63">
        <v>79</v>
      </c>
      <c r="M84" s="73">
        <f t="shared" si="22"/>
        <v>0.79</v>
      </c>
      <c r="O84" s="72">
        <f t="shared" si="23"/>
        <v>6.35</v>
      </c>
      <c r="Q84" s="73">
        <f t="shared" si="24"/>
        <v>-40.9</v>
      </c>
      <c r="R84" s="39" t="str">
        <f t="shared" si="25"/>
        <v>2E</v>
      </c>
      <c r="T84" s="77">
        <f t="shared" si="26"/>
        <v>20.8</v>
      </c>
      <c r="U84" s="155">
        <f t="shared" si="27"/>
        <v>60.8</v>
      </c>
      <c r="V84" s="39" t="str">
        <f t="shared" si="28"/>
        <v>,0x3C</v>
      </c>
      <c r="X84" s="77">
        <f t="shared" si="29"/>
        <v>20.8</v>
      </c>
      <c r="Y84" s="155">
        <f t="shared" si="30"/>
        <v>60.8</v>
      </c>
      <c r="Z84" s="39" t="str">
        <f t="shared" si="31"/>
        <v>,0x3C</v>
      </c>
      <c r="AB84" s="73">
        <f t="shared" si="32"/>
        <v>-36</v>
      </c>
      <c r="AD84" s="157">
        <f t="shared" si="33"/>
        <v>0.16200000000000001</v>
      </c>
      <c r="AE84" s="157">
        <f t="shared" si="34"/>
        <v>41.472999999999999</v>
      </c>
      <c r="AG84" s="63" t="str">
        <f t="shared" si="35"/>
        <v>51</v>
      </c>
      <c r="AJ84" s="63" t="str">
        <f t="shared" si="36"/>
        <v>51</v>
      </c>
      <c r="AM84" s="63" t="str">
        <f t="shared" si="37"/>
        <v>51</v>
      </c>
      <c r="AP84" s="63" t="str">
        <f t="shared" si="38"/>
        <v>51</v>
      </c>
      <c r="AS84" s="63" t="str">
        <f t="shared" si="39"/>
        <v>51</v>
      </c>
    </row>
    <row r="85" spans="1:45">
      <c r="A85" s="35" t="str">
        <f t="shared" si="20"/>
        <v>,80</v>
      </c>
      <c r="B85" s="35">
        <v>82</v>
      </c>
      <c r="C85" s="35" t="str">
        <f t="shared" si="21"/>
        <v>52</v>
      </c>
      <c r="D85" s="73">
        <f>ROUND(B85*((100-9.48)/255) +9.48,1)</f>
        <v>38.6</v>
      </c>
      <c r="E85" s="39" t="str">
        <f>",0x" &amp;DEC2HEX(ROUND(D85,0))</f>
        <v>,0x27</v>
      </c>
      <c r="G85" s="76">
        <f>B85*(1063)/255</f>
        <v>341.82745098039214</v>
      </c>
      <c r="H85" s="153" t="str">
        <f>"," &amp;ROUND(G85/10,0)</f>
        <v>,34</v>
      </c>
      <c r="K85" s="63">
        <v>80</v>
      </c>
      <c r="M85" s="73">
        <f t="shared" si="22"/>
        <v>0.8</v>
      </c>
      <c r="O85" s="72">
        <f t="shared" si="23"/>
        <v>6.43</v>
      </c>
      <c r="Q85" s="73">
        <f t="shared" si="24"/>
        <v>-40.700000000000003</v>
      </c>
      <c r="R85" s="39" t="str">
        <f t="shared" si="25"/>
        <v>2F</v>
      </c>
      <c r="T85" s="77">
        <f t="shared" si="26"/>
        <v>21.5</v>
      </c>
      <c r="U85" s="155">
        <f t="shared" si="27"/>
        <v>61.5</v>
      </c>
      <c r="V85" s="39" t="str">
        <f t="shared" si="28"/>
        <v>,0x3D</v>
      </c>
      <c r="X85" s="77">
        <f t="shared" si="29"/>
        <v>21.5</v>
      </c>
      <c r="Y85" s="155">
        <f t="shared" si="30"/>
        <v>61.5</v>
      </c>
      <c r="Z85" s="39" t="str">
        <f t="shared" si="31"/>
        <v>,0x3D</v>
      </c>
      <c r="AB85" s="73">
        <f t="shared" si="32"/>
        <v>-36</v>
      </c>
      <c r="AD85" s="157">
        <f t="shared" si="33"/>
        <v>0.16400000000000001</v>
      </c>
      <c r="AE85" s="157">
        <f t="shared" si="34"/>
        <v>41.984999999999999</v>
      </c>
      <c r="AG85" s="63" t="str">
        <f t="shared" si="35"/>
        <v>52</v>
      </c>
      <c r="AJ85" s="63" t="str">
        <f t="shared" si="36"/>
        <v>52</v>
      </c>
      <c r="AM85" s="63" t="str">
        <f t="shared" si="37"/>
        <v>52</v>
      </c>
      <c r="AP85" s="63" t="str">
        <f t="shared" si="38"/>
        <v>52</v>
      </c>
      <c r="AS85" s="63" t="str">
        <f t="shared" si="39"/>
        <v>52</v>
      </c>
    </row>
    <row r="86" spans="1:45">
      <c r="A86" s="35" t="str">
        <f t="shared" si="20"/>
        <v>,81</v>
      </c>
      <c r="B86" s="35">
        <v>83</v>
      </c>
      <c r="C86" s="35" t="str">
        <f t="shared" si="21"/>
        <v>53</v>
      </c>
      <c r="D86" s="73">
        <f>ROUND(B86*((100-9.48)/255) +9.48,1)</f>
        <v>38.9</v>
      </c>
      <c r="E86" s="39" t="str">
        <f>",0x" &amp;DEC2HEX(ROUND(D86,0))</f>
        <v>,0x27</v>
      </c>
      <c r="G86" s="76">
        <f>B86*(1063)/255</f>
        <v>345.99607843137255</v>
      </c>
      <c r="H86" s="153" t="str">
        <f>"," &amp;ROUND(G86/10,0)</f>
        <v>,35</v>
      </c>
      <c r="K86" s="63">
        <v>81</v>
      </c>
      <c r="M86" s="73">
        <f t="shared" si="22"/>
        <v>0.81</v>
      </c>
      <c r="O86" s="72">
        <f t="shared" si="23"/>
        <v>6.51</v>
      </c>
      <c r="Q86" s="73">
        <f t="shared" si="24"/>
        <v>-40.5</v>
      </c>
      <c r="R86" s="39" t="str">
        <f t="shared" si="25"/>
        <v>2F</v>
      </c>
      <c r="T86" s="77">
        <f t="shared" si="26"/>
        <v>22.1</v>
      </c>
      <c r="U86" s="155">
        <f t="shared" si="27"/>
        <v>62.1</v>
      </c>
      <c r="V86" s="39" t="str">
        <f t="shared" si="28"/>
        <v>,0x3E</v>
      </c>
      <c r="X86" s="77">
        <f t="shared" si="29"/>
        <v>22.1</v>
      </c>
      <c r="Y86" s="155">
        <f t="shared" si="30"/>
        <v>62.1</v>
      </c>
      <c r="Z86" s="39" t="str">
        <f t="shared" si="31"/>
        <v>,0x3E</v>
      </c>
      <c r="AB86" s="73">
        <f t="shared" si="32"/>
        <v>-35</v>
      </c>
      <c r="AD86" s="157">
        <f t="shared" si="33"/>
        <v>0.16600000000000001</v>
      </c>
      <c r="AE86" s="157">
        <f t="shared" si="34"/>
        <v>42.497</v>
      </c>
      <c r="AG86" s="63" t="str">
        <f t="shared" si="35"/>
        <v>53</v>
      </c>
      <c r="AJ86" s="63" t="str">
        <f t="shared" si="36"/>
        <v>53</v>
      </c>
      <c r="AM86" s="63" t="str">
        <f t="shared" si="37"/>
        <v>53</v>
      </c>
      <c r="AP86" s="63" t="str">
        <f t="shared" si="38"/>
        <v>53</v>
      </c>
      <c r="AS86" s="63" t="str">
        <f t="shared" si="39"/>
        <v>53</v>
      </c>
    </row>
    <row r="87" spans="1:45">
      <c r="A87" s="35" t="str">
        <f t="shared" si="20"/>
        <v>,82</v>
      </c>
      <c r="B87" s="35">
        <v>84</v>
      </c>
      <c r="C87" s="35" t="str">
        <f t="shared" si="21"/>
        <v>54</v>
      </c>
      <c r="D87" s="73">
        <f>ROUND(B87*((100-9.48)/255) +9.48,1)</f>
        <v>39.299999999999997</v>
      </c>
      <c r="E87" s="39" t="str">
        <f>",0x" &amp;DEC2HEX(ROUND(D87,0))</f>
        <v>,0x27</v>
      </c>
      <c r="G87" s="76">
        <f>B87*(1063)/255</f>
        <v>350.16470588235296</v>
      </c>
      <c r="H87" s="153" t="str">
        <f>"," &amp;ROUND(G87/10,0)</f>
        <v>,35</v>
      </c>
      <c r="K87" s="63">
        <v>82</v>
      </c>
      <c r="M87" s="73">
        <f t="shared" si="22"/>
        <v>0.82</v>
      </c>
      <c r="O87" s="72">
        <f t="shared" si="23"/>
        <v>6.59</v>
      </c>
      <c r="Q87" s="73">
        <f t="shared" si="24"/>
        <v>-40.200000000000003</v>
      </c>
      <c r="R87" s="39" t="str">
        <f t="shared" si="25"/>
        <v>30</v>
      </c>
      <c r="T87" s="77">
        <f t="shared" si="26"/>
        <v>22.7</v>
      </c>
      <c r="U87" s="155">
        <f t="shared" si="27"/>
        <v>62.7</v>
      </c>
      <c r="V87" s="39" t="str">
        <f t="shared" si="28"/>
        <v>,0x3E</v>
      </c>
      <c r="X87" s="77">
        <f t="shared" si="29"/>
        <v>22.7</v>
      </c>
      <c r="Y87" s="155">
        <f t="shared" si="30"/>
        <v>62.7</v>
      </c>
      <c r="Z87" s="39" t="str">
        <f t="shared" si="31"/>
        <v>,0x3E</v>
      </c>
      <c r="AB87" s="73">
        <f t="shared" si="32"/>
        <v>-34</v>
      </c>
      <c r="AD87" s="157">
        <f t="shared" si="33"/>
        <v>0.16800000000000001</v>
      </c>
      <c r="AE87" s="157">
        <f t="shared" si="34"/>
        <v>43.009</v>
      </c>
      <c r="AG87" s="63" t="str">
        <f t="shared" si="35"/>
        <v>54</v>
      </c>
      <c r="AJ87" s="63" t="str">
        <f t="shared" si="36"/>
        <v>54</v>
      </c>
      <c r="AM87" s="63" t="str">
        <f t="shared" si="37"/>
        <v>54</v>
      </c>
      <c r="AP87" s="63" t="str">
        <f t="shared" si="38"/>
        <v>54</v>
      </c>
      <c r="AS87" s="63" t="str">
        <f t="shared" si="39"/>
        <v>54</v>
      </c>
    </row>
    <row r="88" spans="1:45">
      <c r="A88" s="35" t="str">
        <f t="shared" si="20"/>
        <v>,83</v>
      </c>
      <c r="B88" s="35">
        <v>85</v>
      </c>
      <c r="C88" s="35" t="str">
        <f t="shared" si="21"/>
        <v>55</v>
      </c>
      <c r="D88" s="73">
        <f>ROUND(B88*((100-9.48)/255) +9.48,1)</f>
        <v>39.700000000000003</v>
      </c>
      <c r="E88" s="39" t="str">
        <f>",0x" &amp;DEC2HEX(ROUND(D88,0))</f>
        <v>,0x28</v>
      </c>
      <c r="G88" s="76">
        <f>B88*(1063)/255</f>
        <v>354.33333333333331</v>
      </c>
      <c r="H88" s="153" t="str">
        <f>"," &amp;ROUND(G88/10,0)</f>
        <v>,35</v>
      </c>
      <c r="K88" s="63">
        <v>83</v>
      </c>
      <c r="M88" s="73">
        <f t="shared" si="22"/>
        <v>0.83</v>
      </c>
      <c r="O88" s="72">
        <f t="shared" si="23"/>
        <v>6.67</v>
      </c>
      <c r="Q88" s="73">
        <f t="shared" si="24"/>
        <v>-40</v>
      </c>
      <c r="R88" s="39" t="str">
        <f t="shared" si="25"/>
        <v>30</v>
      </c>
      <c r="T88" s="77">
        <f t="shared" si="26"/>
        <v>23.3</v>
      </c>
      <c r="U88" s="155">
        <f t="shared" si="27"/>
        <v>63.3</v>
      </c>
      <c r="V88" s="39" t="str">
        <f t="shared" si="28"/>
        <v>,0x3F</v>
      </c>
      <c r="X88" s="77">
        <f t="shared" si="29"/>
        <v>23.3</v>
      </c>
      <c r="Y88" s="155">
        <f t="shared" si="30"/>
        <v>63.3</v>
      </c>
      <c r="Z88" s="39" t="str">
        <f t="shared" si="31"/>
        <v>,0x3F</v>
      </c>
      <c r="AB88" s="73">
        <f t="shared" si="32"/>
        <v>-33</v>
      </c>
      <c r="AD88" s="157">
        <f t="shared" si="33"/>
        <v>0.17</v>
      </c>
      <c r="AE88" s="157">
        <f t="shared" si="34"/>
        <v>43.521000000000001</v>
      </c>
      <c r="AG88" s="63" t="str">
        <f t="shared" si="35"/>
        <v>55</v>
      </c>
      <c r="AJ88" s="63" t="str">
        <f t="shared" si="36"/>
        <v>55</v>
      </c>
      <c r="AM88" s="63" t="str">
        <f t="shared" si="37"/>
        <v>55</v>
      </c>
      <c r="AP88" s="63" t="str">
        <f t="shared" si="38"/>
        <v>55</v>
      </c>
      <c r="AS88" s="63" t="str">
        <f t="shared" si="39"/>
        <v>55</v>
      </c>
    </row>
    <row r="89" spans="1:45">
      <c r="A89" s="35" t="str">
        <f t="shared" si="20"/>
        <v>,84</v>
      </c>
      <c r="B89" s="35">
        <v>86</v>
      </c>
      <c r="C89" s="35" t="str">
        <f t="shared" si="21"/>
        <v>56</v>
      </c>
      <c r="D89" s="73">
        <f>ROUND(B89*((100-9.48)/255) +9.48,1)</f>
        <v>40</v>
      </c>
      <c r="E89" s="39" t="str">
        <f>",0x" &amp;DEC2HEX(ROUND(D89,0))</f>
        <v>,0x28</v>
      </c>
      <c r="G89" s="76">
        <f>B89*(1063)/255</f>
        <v>358.50196078431372</v>
      </c>
      <c r="H89" s="153" t="str">
        <f>"," &amp;ROUND(G89/10,0)</f>
        <v>,36</v>
      </c>
      <c r="K89" s="63">
        <v>84</v>
      </c>
      <c r="M89" s="73">
        <f t="shared" si="22"/>
        <v>0.84</v>
      </c>
      <c r="O89" s="72">
        <f t="shared" si="23"/>
        <v>6.75</v>
      </c>
      <c r="Q89" s="73">
        <f t="shared" si="24"/>
        <v>-39.799999999999997</v>
      </c>
      <c r="R89" s="39" t="str">
        <f t="shared" si="25"/>
        <v>30</v>
      </c>
      <c r="T89" s="77">
        <f t="shared" si="26"/>
        <v>24</v>
      </c>
      <c r="U89" s="155">
        <f t="shared" si="27"/>
        <v>64</v>
      </c>
      <c r="V89" s="39" t="str">
        <f t="shared" si="28"/>
        <v>,0x40</v>
      </c>
      <c r="X89" s="77">
        <f t="shared" si="29"/>
        <v>24</v>
      </c>
      <c r="Y89" s="155">
        <f t="shared" si="30"/>
        <v>64</v>
      </c>
      <c r="Z89" s="39" t="str">
        <f t="shared" si="31"/>
        <v>,0x40</v>
      </c>
      <c r="AB89" s="73">
        <f t="shared" si="32"/>
        <v>-33</v>
      </c>
      <c r="AD89" s="157">
        <f t="shared" si="33"/>
        <v>0.17199999999999999</v>
      </c>
      <c r="AE89" s="157">
        <f t="shared" si="34"/>
        <v>44.033000000000001</v>
      </c>
      <c r="AG89" s="63" t="str">
        <f t="shared" si="35"/>
        <v>56</v>
      </c>
      <c r="AJ89" s="63" t="str">
        <f t="shared" si="36"/>
        <v>56</v>
      </c>
      <c r="AM89" s="63" t="str">
        <f t="shared" si="37"/>
        <v>56</v>
      </c>
      <c r="AP89" s="63" t="str">
        <f t="shared" si="38"/>
        <v>56</v>
      </c>
      <c r="AS89" s="63" t="str">
        <f t="shared" si="39"/>
        <v>56</v>
      </c>
    </row>
    <row r="90" spans="1:45">
      <c r="A90" s="35" t="str">
        <f t="shared" si="20"/>
        <v>,85</v>
      </c>
      <c r="B90" s="35">
        <v>87</v>
      </c>
      <c r="C90" s="35" t="str">
        <f t="shared" si="21"/>
        <v>57</v>
      </c>
      <c r="D90" s="73">
        <f>ROUND(B90*((100-9.48)/255) +9.48,1)</f>
        <v>40.4</v>
      </c>
      <c r="E90" s="39" t="str">
        <f>",0x" &amp;DEC2HEX(ROUND(D90,0))</f>
        <v>,0x28</v>
      </c>
      <c r="G90" s="76">
        <f>B90*(1063)/255</f>
        <v>362.67058823529413</v>
      </c>
      <c r="H90" s="153" t="str">
        <f>"," &amp;ROUND(G90/10,0)</f>
        <v>,36</v>
      </c>
      <c r="K90" s="63">
        <v>85</v>
      </c>
      <c r="M90" s="73">
        <f t="shared" si="22"/>
        <v>0.85</v>
      </c>
      <c r="O90" s="72">
        <f t="shared" si="23"/>
        <v>6.82</v>
      </c>
      <c r="Q90" s="73">
        <f t="shared" si="24"/>
        <v>-39.5</v>
      </c>
      <c r="R90" s="39" t="str">
        <f t="shared" si="25"/>
        <v>31</v>
      </c>
      <c r="T90" s="77">
        <f t="shared" si="26"/>
        <v>24.6</v>
      </c>
      <c r="U90" s="155">
        <f t="shared" si="27"/>
        <v>64.599999999999994</v>
      </c>
      <c r="V90" s="39" t="str">
        <f t="shared" si="28"/>
        <v>,0x40</v>
      </c>
      <c r="X90" s="77">
        <f t="shared" si="29"/>
        <v>24.6</v>
      </c>
      <c r="Y90" s="155">
        <f t="shared" si="30"/>
        <v>64.599999999999994</v>
      </c>
      <c r="Z90" s="39" t="str">
        <f t="shared" si="31"/>
        <v>,0x40</v>
      </c>
      <c r="AB90" s="73">
        <f t="shared" si="32"/>
        <v>-32</v>
      </c>
      <c r="AD90" s="157">
        <f t="shared" si="33"/>
        <v>0.17399999999999999</v>
      </c>
      <c r="AE90" s="157">
        <f t="shared" si="34"/>
        <v>44.545000000000002</v>
      </c>
      <c r="AG90" s="63" t="str">
        <f t="shared" si="35"/>
        <v>57</v>
      </c>
      <c r="AJ90" s="63" t="str">
        <f t="shared" si="36"/>
        <v>57</v>
      </c>
      <c r="AM90" s="63" t="str">
        <f t="shared" si="37"/>
        <v>57</v>
      </c>
      <c r="AP90" s="63" t="str">
        <f t="shared" si="38"/>
        <v>57</v>
      </c>
      <c r="AS90" s="63" t="str">
        <f t="shared" si="39"/>
        <v>57</v>
      </c>
    </row>
    <row r="91" spans="1:45">
      <c r="A91" s="35" t="str">
        <f t="shared" si="20"/>
        <v>,86</v>
      </c>
      <c r="B91" s="35">
        <v>88</v>
      </c>
      <c r="C91" s="35" t="str">
        <f t="shared" si="21"/>
        <v>58</v>
      </c>
      <c r="D91" s="73">
        <f>ROUND(B91*((100-9.48)/255) +9.48,1)</f>
        <v>40.700000000000003</v>
      </c>
      <c r="E91" s="39" t="str">
        <f>",0x" &amp;DEC2HEX(ROUND(D91,0))</f>
        <v>,0x29</v>
      </c>
      <c r="G91" s="76">
        <f>B91*(1063)/255</f>
        <v>366.83921568627449</v>
      </c>
      <c r="H91" s="153" t="str">
        <f>"," &amp;ROUND(G91/10,0)</f>
        <v>,37</v>
      </c>
      <c r="K91" s="63">
        <v>86</v>
      </c>
      <c r="M91" s="73">
        <f t="shared" si="22"/>
        <v>0.86</v>
      </c>
      <c r="O91" s="72">
        <f t="shared" si="23"/>
        <v>6.9</v>
      </c>
      <c r="Q91" s="73">
        <f t="shared" si="24"/>
        <v>-39.299999999999997</v>
      </c>
      <c r="R91" s="39" t="str">
        <f t="shared" si="25"/>
        <v>31</v>
      </c>
      <c r="T91" s="77">
        <f t="shared" si="26"/>
        <v>25.2</v>
      </c>
      <c r="U91" s="155">
        <f t="shared" si="27"/>
        <v>65.2</v>
      </c>
      <c r="V91" s="39" t="str">
        <f t="shared" si="28"/>
        <v>,0x41</v>
      </c>
      <c r="X91" s="77">
        <f t="shared" si="29"/>
        <v>25.2</v>
      </c>
      <c r="Y91" s="155">
        <f t="shared" si="30"/>
        <v>65.2</v>
      </c>
      <c r="Z91" s="39" t="str">
        <f t="shared" si="31"/>
        <v>,0x41</v>
      </c>
      <c r="AB91" s="73">
        <f t="shared" si="32"/>
        <v>-31</v>
      </c>
      <c r="AD91" s="157">
        <f t="shared" si="33"/>
        <v>0.17599999999999999</v>
      </c>
      <c r="AE91" s="157">
        <f t="shared" si="34"/>
        <v>45.057000000000002</v>
      </c>
      <c r="AG91" s="63" t="str">
        <f t="shared" si="35"/>
        <v>58</v>
      </c>
      <c r="AJ91" s="63" t="str">
        <f t="shared" si="36"/>
        <v>58</v>
      </c>
      <c r="AM91" s="63" t="str">
        <f t="shared" si="37"/>
        <v>58</v>
      </c>
      <c r="AP91" s="63" t="str">
        <f t="shared" si="38"/>
        <v>58</v>
      </c>
      <c r="AS91" s="63" t="str">
        <f t="shared" si="39"/>
        <v>58</v>
      </c>
    </row>
    <row r="92" spans="1:45">
      <c r="A92" s="35" t="str">
        <f t="shared" si="20"/>
        <v>,87</v>
      </c>
      <c r="B92" s="35">
        <v>89</v>
      </c>
      <c r="C92" s="35" t="str">
        <f t="shared" si="21"/>
        <v>59</v>
      </c>
      <c r="D92" s="73">
        <f>ROUND(B92*((100-9.48)/255) +9.48,1)</f>
        <v>41.1</v>
      </c>
      <c r="E92" s="39" t="str">
        <f>",0x" &amp;DEC2HEX(ROUND(D92,0))</f>
        <v>,0x29</v>
      </c>
      <c r="G92" s="76">
        <f>B92*(1063)/255</f>
        <v>371.00784313725489</v>
      </c>
      <c r="H92" s="153" t="str">
        <f>"," &amp;ROUND(G92/10,0)</f>
        <v>,37</v>
      </c>
      <c r="K92" s="63">
        <v>87</v>
      </c>
      <c r="M92" s="73">
        <f t="shared" si="22"/>
        <v>0.87</v>
      </c>
      <c r="O92" s="72">
        <f t="shared" si="23"/>
        <v>6.98</v>
      </c>
      <c r="Q92" s="73">
        <f t="shared" si="24"/>
        <v>-39.1</v>
      </c>
      <c r="R92" s="39" t="str">
        <f t="shared" si="25"/>
        <v>32</v>
      </c>
      <c r="T92" s="77">
        <f t="shared" si="26"/>
        <v>25.8</v>
      </c>
      <c r="U92" s="155">
        <f t="shared" si="27"/>
        <v>65.8</v>
      </c>
      <c r="V92" s="39" t="str">
        <f t="shared" si="28"/>
        <v>,0x41</v>
      </c>
      <c r="X92" s="77">
        <f t="shared" si="29"/>
        <v>25.8</v>
      </c>
      <c r="Y92" s="155">
        <f t="shared" si="30"/>
        <v>65.8</v>
      </c>
      <c r="Z92" s="39" t="str">
        <f t="shared" si="31"/>
        <v>,0x41</v>
      </c>
      <c r="AB92" s="73">
        <f t="shared" si="32"/>
        <v>-30</v>
      </c>
      <c r="AD92" s="157">
        <f t="shared" si="33"/>
        <v>0.17799999999999999</v>
      </c>
      <c r="AE92" s="157">
        <f t="shared" si="34"/>
        <v>45.569000000000003</v>
      </c>
      <c r="AG92" s="63" t="str">
        <f t="shared" si="35"/>
        <v>59</v>
      </c>
      <c r="AJ92" s="63" t="str">
        <f t="shared" si="36"/>
        <v>59</v>
      </c>
      <c r="AM92" s="63" t="str">
        <f t="shared" si="37"/>
        <v>59</v>
      </c>
      <c r="AP92" s="63" t="str">
        <f t="shared" si="38"/>
        <v>59</v>
      </c>
      <c r="AS92" s="63" t="str">
        <f t="shared" si="39"/>
        <v>59</v>
      </c>
    </row>
    <row r="93" spans="1:45">
      <c r="A93" s="35" t="str">
        <f t="shared" si="20"/>
        <v>,88</v>
      </c>
      <c r="B93" s="35">
        <v>90</v>
      </c>
      <c r="C93" s="35" t="str">
        <f t="shared" si="21"/>
        <v>5A</v>
      </c>
      <c r="D93" s="73">
        <f>ROUND(B93*((100-9.48)/255) +9.48,1)</f>
        <v>41.4</v>
      </c>
      <c r="E93" s="39" t="str">
        <f>",0x" &amp;DEC2HEX(ROUND(D93,0))</f>
        <v>,0x29</v>
      </c>
      <c r="G93" s="76">
        <f>B93*(1063)/255</f>
        <v>375.1764705882353</v>
      </c>
      <c r="H93" s="153" t="str">
        <f>"," &amp;ROUND(G93/10,0)</f>
        <v>,38</v>
      </c>
      <c r="K93" s="63">
        <v>88</v>
      </c>
      <c r="M93" s="73">
        <f t="shared" si="22"/>
        <v>0.88</v>
      </c>
      <c r="O93" s="72">
        <f t="shared" si="23"/>
        <v>7.06</v>
      </c>
      <c r="Q93" s="73">
        <f t="shared" si="24"/>
        <v>-38.799999999999997</v>
      </c>
      <c r="R93" s="39" t="str">
        <f t="shared" si="25"/>
        <v>32</v>
      </c>
      <c r="T93" s="77">
        <f t="shared" si="26"/>
        <v>26.5</v>
      </c>
      <c r="U93" s="155">
        <f t="shared" si="27"/>
        <v>66.5</v>
      </c>
      <c r="V93" s="39" t="str">
        <f t="shared" si="28"/>
        <v>,0x42</v>
      </c>
      <c r="X93" s="77">
        <f t="shared" si="29"/>
        <v>26.5</v>
      </c>
      <c r="Y93" s="155">
        <f t="shared" si="30"/>
        <v>66.5</v>
      </c>
      <c r="Z93" s="39" t="str">
        <f t="shared" si="31"/>
        <v>,0x42</v>
      </c>
      <c r="AB93" s="73">
        <f t="shared" si="32"/>
        <v>-29</v>
      </c>
      <c r="AD93" s="157">
        <f t="shared" si="33"/>
        <v>0.18</v>
      </c>
      <c r="AE93" s="157">
        <f t="shared" si="34"/>
        <v>46.081000000000003</v>
      </c>
      <c r="AG93" s="63" t="str">
        <f t="shared" si="35"/>
        <v>5A</v>
      </c>
      <c r="AJ93" s="63" t="str">
        <f t="shared" si="36"/>
        <v>5A</v>
      </c>
      <c r="AM93" s="63" t="str">
        <f t="shared" si="37"/>
        <v>5A</v>
      </c>
      <c r="AP93" s="63" t="str">
        <f t="shared" si="38"/>
        <v>5A</v>
      </c>
      <c r="AS93" s="63" t="str">
        <f t="shared" si="39"/>
        <v>5A</v>
      </c>
    </row>
    <row r="94" spans="1:45">
      <c r="A94" s="35" t="str">
        <f t="shared" si="20"/>
        <v>,89</v>
      </c>
      <c r="B94" s="35">
        <v>91</v>
      </c>
      <c r="C94" s="35" t="str">
        <f t="shared" si="21"/>
        <v>5B</v>
      </c>
      <c r="D94" s="73">
        <f>ROUND(B94*((100-9.48)/255) +9.48,1)</f>
        <v>41.8</v>
      </c>
      <c r="E94" s="39" t="str">
        <f>",0x" &amp;DEC2HEX(ROUND(D94,0))</f>
        <v>,0x2A</v>
      </c>
      <c r="G94" s="76">
        <f>B94*(1063)/255</f>
        <v>379.34509803921571</v>
      </c>
      <c r="H94" s="153" t="str">
        <f>"," &amp;ROUND(G94/10,0)</f>
        <v>,38</v>
      </c>
      <c r="K94" s="63">
        <v>89</v>
      </c>
      <c r="M94" s="73">
        <f t="shared" si="22"/>
        <v>0.89</v>
      </c>
      <c r="O94" s="72">
        <f t="shared" si="23"/>
        <v>7.14</v>
      </c>
      <c r="Q94" s="73">
        <f t="shared" si="24"/>
        <v>-38.6</v>
      </c>
      <c r="R94" s="39" t="str">
        <f t="shared" si="25"/>
        <v>33</v>
      </c>
      <c r="T94" s="77">
        <f t="shared" si="26"/>
        <v>27.1</v>
      </c>
      <c r="U94" s="155">
        <f t="shared" si="27"/>
        <v>67.099999999999994</v>
      </c>
      <c r="V94" s="39" t="str">
        <f t="shared" si="28"/>
        <v>,0x43</v>
      </c>
      <c r="X94" s="77">
        <f t="shared" si="29"/>
        <v>27.1</v>
      </c>
      <c r="Y94" s="155">
        <f t="shared" si="30"/>
        <v>67.099999999999994</v>
      </c>
      <c r="Z94" s="39" t="str">
        <f t="shared" si="31"/>
        <v>,0x43</v>
      </c>
      <c r="AB94" s="73">
        <f t="shared" si="32"/>
        <v>-29</v>
      </c>
      <c r="AD94" s="157">
        <f t="shared" si="33"/>
        <v>0.182</v>
      </c>
      <c r="AE94" s="157">
        <f t="shared" si="34"/>
        <v>46.593000000000004</v>
      </c>
      <c r="AG94" s="63" t="str">
        <f t="shared" si="35"/>
        <v>5B</v>
      </c>
      <c r="AJ94" s="63" t="str">
        <f t="shared" si="36"/>
        <v>5B</v>
      </c>
      <c r="AM94" s="63" t="str">
        <f t="shared" si="37"/>
        <v>5B</v>
      </c>
      <c r="AP94" s="63" t="str">
        <f t="shared" si="38"/>
        <v>5B</v>
      </c>
      <c r="AS94" s="63" t="str">
        <f t="shared" si="39"/>
        <v>5B</v>
      </c>
    </row>
    <row r="95" spans="1:45">
      <c r="A95" s="35" t="str">
        <f t="shared" si="20"/>
        <v>,90</v>
      </c>
      <c r="B95" s="35">
        <v>92</v>
      </c>
      <c r="C95" s="35" t="str">
        <f t="shared" si="21"/>
        <v>5C</v>
      </c>
      <c r="D95" s="73">
        <f>ROUND(B95*((100-9.48)/255) +9.48,1)</f>
        <v>42.1</v>
      </c>
      <c r="E95" s="39" t="str">
        <f>",0x" &amp;DEC2HEX(ROUND(D95,0))</f>
        <v>,0x2A</v>
      </c>
      <c r="G95" s="76">
        <f>B95*(1063)/255</f>
        <v>383.51372549019607</v>
      </c>
      <c r="H95" s="153" t="str">
        <f>"," &amp;ROUND(G95/10,0)</f>
        <v>,38</v>
      </c>
      <c r="K95" s="63">
        <v>90</v>
      </c>
      <c r="M95" s="73">
        <f t="shared" si="22"/>
        <v>0.9</v>
      </c>
      <c r="O95" s="72">
        <f t="shared" si="23"/>
        <v>7.22</v>
      </c>
      <c r="Q95" s="73">
        <f t="shared" si="24"/>
        <v>-38.4</v>
      </c>
      <c r="R95" s="39" t="str">
        <f t="shared" si="25"/>
        <v>33</v>
      </c>
      <c r="T95" s="77">
        <f t="shared" si="26"/>
        <v>27.7</v>
      </c>
      <c r="U95" s="155">
        <f t="shared" si="27"/>
        <v>67.7</v>
      </c>
      <c r="V95" s="39" t="str">
        <f t="shared" si="28"/>
        <v>,0x43</v>
      </c>
      <c r="X95" s="77">
        <f t="shared" si="29"/>
        <v>27.7</v>
      </c>
      <c r="Y95" s="155">
        <f t="shared" si="30"/>
        <v>67.7</v>
      </c>
      <c r="Z95" s="39" t="str">
        <f t="shared" si="31"/>
        <v>,0x43</v>
      </c>
      <c r="AB95" s="73">
        <f t="shared" si="32"/>
        <v>-28</v>
      </c>
      <c r="AD95" s="157">
        <f t="shared" si="33"/>
        <v>0.184</v>
      </c>
      <c r="AE95" s="157">
        <f t="shared" si="34"/>
        <v>47.104999999999997</v>
      </c>
      <c r="AG95" s="63" t="str">
        <f t="shared" si="35"/>
        <v>5C</v>
      </c>
      <c r="AJ95" s="63" t="str">
        <f t="shared" si="36"/>
        <v>5C</v>
      </c>
      <c r="AM95" s="63" t="str">
        <f t="shared" si="37"/>
        <v>5C</v>
      </c>
      <c r="AP95" s="63" t="str">
        <f t="shared" si="38"/>
        <v>5C</v>
      </c>
      <c r="AS95" s="63" t="str">
        <f t="shared" si="39"/>
        <v>5C</v>
      </c>
    </row>
    <row r="96" spans="1:45">
      <c r="A96" s="35" t="str">
        <f t="shared" si="20"/>
        <v>,91</v>
      </c>
      <c r="B96" s="35">
        <v>93</v>
      </c>
      <c r="C96" s="35" t="str">
        <f t="shared" si="21"/>
        <v>5D</v>
      </c>
      <c r="D96" s="73">
        <f>ROUND(B96*((100-9.48)/255) +9.48,1)</f>
        <v>42.5</v>
      </c>
      <c r="E96" s="39" t="str">
        <f>",0x" &amp;DEC2HEX(ROUND(D96,0))</f>
        <v>,0x2B</v>
      </c>
      <c r="G96" s="76">
        <f>B96*(1063)/255</f>
        <v>387.68235294117648</v>
      </c>
      <c r="H96" s="153" t="str">
        <f>"," &amp;ROUND(G96/10,0)</f>
        <v>,39</v>
      </c>
      <c r="K96" s="63">
        <v>91</v>
      </c>
      <c r="M96" s="73">
        <f t="shared" si="22"/>
        <v>0.91</v>
      </c>
      <c r="O96" s="72">
        <f t="shared" si="23"/>
        <v>7.29</v>
      </c>
      <c r="Q96" s="73">
        <f t="shared" si="24"/>
        <v>-38.1</v>
      </c>
      <c r="R96" s="39" t="str">
        <f t="shared" si="25"/>
        <v>34</v>
      </c>
      <c r="T96" s="77">
        <f t="shared" si="26"/>
        <v>28.4</v>
      </c>
      <c r="U96" s="155">
        <f t="shared" si="27"/>
        <v>68.400000000000006</v>
      </c>
      <c r="V96" s="39" t="str">
        <f t="shared" si="28"/>
        <v>,0x44</v>
      </c>
      <c r="X96" s="77">
        <f t="shared" si="29"/>
        <v>28.4</v>
      </c>
      <c r="Y96" s="155">
        <f t="shared" si="30"/>
        <v>68.400000000000006</v>
      </c>
      <c r="Z96" s="39" t="str">
        <f t="shared" si="31"/>
        <v>,0x44</v>
      </c>
      <c r="AB96" s="73">
        <f t="shared" si="32"/>
        <v>-27</v>
      </c>
      <c r="AD96" s="157">
        <f t="shared" si="33"/>
        <v>0.186</v>
      </c>
      <c r="AE96" s="157">
        <f t="shared" si="34"/>
        <v>47.616999999999997</v>
      </c>
      <c r="AG96" s="63" t="str">
        <f t="shared" si="35"/>
        <v>5D</v>
      </c>
      <c r="AJ96" s="63" t="str">
        <f t="shared" si="36"/>
        <v>5D</v>
      </c>
      <c r="AM96" s="63" t="str">
        <f t="shared" si="37"/>
        <v>5D</v>
      </c>
      <c r="AP96" s="63" t="str">
        <f t="shared" si="38"/>
        <v>5D</v>
      </c>
      <c r="AS96" s="63" t="str">
        <f t="shared" si="39"/>
        <v>5D</v>
      </c>
    </row>
    <row r="97" spans="1:45">
      <c r="A97" s="35" t="str">
        <f t="shared" si="20"/>
        <v>,92</v>
      </c>
      <c r="B97" s="35">
        <v>94</v>
      </c>
      <c r="C97" s="35" t="str">
        <f t="shared" si="21"/>
        <v>5E</v>
      </c>
      <c r="D97" s="73">
        <f>ROUND(B97*((100-9.48)/255) +9.48,1)</f>
        <v>42.8</v>
      </c>
      <c r="E97" s="39" t="str">
        <f>",0x" &amp;DEC2HEX(ROUND(D97,0))</f>
        <v>,0x2B</v>
      </c>
      <c r="G97" s="76">
        <f>B97*(1063)/255</f>
        <v>391.85098039215688</v>
      </c>
      <c r="H97" s="153" t="str">
        <f>"," &amp;ROUND(G97/10,0)</f>
        <v>,39</v>
      </c>
      <c r="K97" s="63">
        <v>92</v>
      </c>
      <c r="M97" s="73">
        <f t="shared" si="22"/>
        <v>0.92</v>
      </c>
      <c r="O97" s="72">
        <f t="shared" si="23"/>
        <v>7.37</v>
      </c>
      <c r="Q97" s="73">
        <f t="shared" si="24"/>
        <v>-37.9</v>
      </c>
      <c r="R97" s="39" t="str">
        <f t="shared" si="25"/>
        <v>34</v>
      </c>
      <c r="T97" s="77">
        <f t="shared" si="26"/>
        <v>29</v>
      </c>
      <c r="U97" s="155">
        <f t="shared" si="27"/>
        <v>69</v>
      </c>
      <c r="V97" s="39" t="str">
        <f t="shared" si="28"/>
        <v>,0x45</v>
      </c>
      <c r="X97" s="77">
        <f t="shared" si="29"/>
        <v>29</v>
      </c>
      <c r="Y97" s="155">
        <f t="shared" si="30"/>
        <v>69</v>
      </c>
      <c r="Z97" s="39" t="str">
        <f t="shared" si="31"/>
        <v>,0x45</v>
      </c>
      <c r="AB97" s="73">
        <f t="shared" si="32"/>
        <v>-26</v>
      </c>
      <c r="AD97" s="157">
        <f t="shared" si="33"/>
        <v>0.188</v>
      </c>
      <c r="AE97" s="157">
        <f t="shared" si="34"/>
        <v>48.128999999999998</v>
      </c>
      <c r="AG97" s="63" t="str">
        <f t="shared" si="35"/>
        <v>5E</v>
      </c>
      <c r="AJ97" s="63" t="str">
        <f t="shared" si="36"/>
        <v>5E</v>
      </c>
      <c r="AM97" s="63" t="str">
        <f t="shared" si="37"/>
        <v>5E</v>
      </c>
      <c r="AP97" s="63" t="str">
        <f t="shared" si="38"/>
        <v>5E</v>
      </c>
      <c r="AS97" s="63" t="str">
        <f t="shared" si="39"/>
        <v>5E</v>
      </c>
    </row>
    <row r="98" spans="1:45">
      <c r="A98" s="35" t="str">
        <f t="shared" si="20"/>
        <v>,93</v>
      </c>
      <c r="B98" s="35">
        <v>95</v>
      </c>
      <c r="C98" s="35" t="str">
        <f t="shared" si="21"/>
        <v>5F</v>
      </c>
      <c r="D98" s="73">
        <f>ROUND(B98*((100-9.48)/255) +9.48,1)</f>
        <v>43.2</v>
      </c>
      <c r="E98" s="39" t="str">
        <f>",0x" &amp;DEC2HEX(ROUND(D98,0))</f>
        <v>,0x2B</v>
      </c>
      <c r="G98" s="76">
        <f>B98*(1063)/255</f>
        <v>396.01960784313724</v>
      </c>
      <c r="H98" s="153" t="str">
        <f>"," &amp;ROUND(G98/10,0)</f>
        <v>,40</v>
      </c>
      <c r="K98" s="63">
        <v>93</v>
      </c>
      <c r="M98" s="73">
        <f t="shared" si="22"/>
        <v>0.93</v>
      </c>
      <c r="O98" s="72">
        <f t="shared" si="23"/>
        <v>7.45</v>
      </c>
      <c r="Q98" s="73">
        <f t="shared" si="24"/>
        <v>-37.6</v>
      </c>
      <c r="R98" s="39" t="str">
        <f t="shared" si="25"/>
        <v>35</v>
      </c>
      <c r="T98" s="77">
        <f t="shared" si="26"/>
        <v>29.6</v>
      </c>
      <c r="U98" s="155">
        <f t="shared" si="27"/>
        <v>69.599999999999994</v>
      </c>
      <c r="V98" s="39" t="str">
        <f t="shared" si="28"/>
        <v>,0x45</v>
      </c>
      <c r="X98" s="77">
        <f t="shared" si="29"/>
        <v>29.6</v>
      </c>
      <c r="Y98" s="155">
        <f t="shared" si="30"/>
        <v>69.599999999999994</v>
      </c>
      <c r="Z98" s="39" t="str">
        <f t="shared" si="31"/>
        <v>,0x45</v>
      </c>
      <c r="AB98" s="73">
        <f t="shared" si="32"/>
        <v>-25</v>
      </c>
      <c r="AD98" s="157">
        <f t="shared" si="33"/>
        <v>0.19</v>
      </c>
      <c r="AE98" s="157">
        <f t="shared" si="34"/>
        <v>48.640999999999998</v>
      </c>
      <c r="AG98" s="63" t="str">
        <f t="shared" si="35"/>
        <v>5F</v>
      </c>
      <c r="AJ98" s="63" t="str">
        <f t="shared" si="36"/>
        <v>5F</v>
      </c>
      <c r="AM98" s="63" t="str">
        <f t="shared" si="37"/>
        <v>5F</v>
      </c>
      <c r="AP98" s="63" t="str">
        <f t="shared" si="38"/>
        <v>5F</v>
      </c>
      <c r="AS98" s="63" t="str">
        <f t="shared" si="39"/>
        <v>5F</v>
      </c>
    </row>
    <row r="99" spans="1:45">
      <c r="A99" s="35" t="str">
        <f t="shared" si="20"/>
        <v>,94</v>
      </c>
      <c r="B99" s="35">
        <v>96</v>
      </c>
      <c r="C99" s="35" t="str">
        <f t="shared" si="21"/>
        <v>60</v>
      </c>
      <c r="D99" s="73">
        <f>ROUND(B99*((100-9.48)/255) +9.48,1)</f>
        <v>43.6</v>
      </c>
      <c r="E99" s="39" t="str">
        <f>",0x" &amp;DEC2HEX(ROUND(D99,0))</f>
        <v>,0x2C</v>
      </c>
      <c r="G99" s="76">
        <f>B99*(1063)/255</f>
        <v>400.18823529411765</v>
      </c>
      <c r="H99" s="153" t="str">
        <f>"," &amp;ROUND(G99/10,0)</f>
        <v>,40</v>
      </c>
      <c r="K99" s="63">
        <v>94</v>
      </c>
      <c r="M99" s="73">
        <f t="shared" si="22"/>
        <v>0.94</v>
      </c>
      <c r="O99" s="72">
        <f t="shared" si="23"/>
        <v>7.53</v>
      </c>
      <c r="Q99" s="73">
        <f t="shared" si="24"/>
        <v>-37.4</v>
      </c>
      <c r="R99" s="39" t="str">
        <f t="shared" si="25"/>
        <v>35</v>
      </c>
      <c r="T99" s="77">
        <f t="shared" si="26"/>
        <v>30.2</v>
      </c>
      <c r="U99" s="155">
        <f t="shared" si="27"/>
        <v>70.2</v>
      </c>
      <c r="V99" s="39" t="str">
        <f t="shared" si="28"/>
        <v>,0x46</v>
      </c>
      <c r="X99" s="77">
        <f t="shared" si="29"/>
        <v>30.2</v>
      </c>
      <c r="Y99" s="155">
        <f t="shared" si="30"/>
        <v>70.2</v>
      </c>
      <c r="Z99" s="39" t="str">
        <f t="shared" si="31"/>
        <v>,0x46</v>
      </c>
      <c r="AB99" s="73">
        <f t="shared" si="32"/>
        <v>-25</v>
      </c>
      <c r="AD99" s="157">
        <f t="shared" si="33"/>
        <v>0.192</v>
      </c>
      <c r="AE99" s="157">
        <f t="shared" si="34"/>
        <v>49.152999999999999</v>
      </c>
      <c r="AG99" s="63" t="str">
        <f t="shared" si="35"/>
        <v>60</v>
      </c>
      <c r="AJ99" s="63" t="str">
        <f t="shared" si="36"/>
        <v>60</v>
      </c>
      <c r="AM99" s="63" t="str">
        <f t="shared" si="37"/>
        <v>60</v>
      </c>
      <c r="AP99" s="63" t="str">
        <f t="shared" si="38"/>
        <v>60</v>
      </c>
      <c r="AS99" s="63" t="str">
        <f t="shared" si="39"/>
        <v>60</v>
      </c>
    </row>
    <row r="100" spans="1:45">
      <c r="A100" s="35" t="str">
        <f t="shared" si="20"/>
        <v>,95</v>
      </c>
      <c r="B100" s="35">
        <v>97</v>
      </c>
      <c r="C100" s="35" t="str">
        <f t="shared" si="21"/>
        <v>61</v>
      </c>
      <c r="D100" s="73">
        <f>ROUND(B100*((100-9.48)/255) +9.48,1)</f>
        <v>43.9</v>
      </c>
      <c r="E100" s="39" t="str">
        <f>",0x" &amp;DEC2HEX(ROUND(D100,0))</f>
        <v>,0x2C</v>
      </c>
      <c r="G100" s="76">
        <f>B100*(1063)/255</f>
        <v>404.35686274509806</v>
      </c>
      <c r="H100" s="153" t="str">
        <f>"," &amp;ROUND(G100/10,0)</f>
        <v>,40</v>
      </c>
      <c r="K100" s="63">
        <v>95</v>
      </c>
      <c r="M100" s="73">
        <f t="shared" si="22"/>
        <v>0.95</v>
      </c>
      <c r="O100" s="72">
        <f t="shared" si="23"/>
        <v>7.61</v>
      </c>
      <c r="Q100" s="73">
        <f t="shared" si="24"/>
        <v>-37.200000000000003</v>
      </c>
      <c r="R100" s="39" t="str">
        <f t="shared" si="25"/>
        <v>36</v>
      </c>
      <c r="T100" s="77">
        <f t="shared" si="26"/>
        <v>30.9</v>
      </c>
      <c r="U100" s="155">
        <f t="shared" si="27"/>
        <v>70.900000000000006</v>
      </c>
      <c r="V100" s="39" t="str">
        <f t="shared" si="28"/>
        <v>,0x46</v>
      </c>
      <c r="X100" s="77">
        <f t="shared" si="29"/>
        <v>30.9</v>
      </c>
      <c r="Y100" s="155">
        <f t="shared" si="30"/>
        <v>70.900000000000006</v>
      </c>
      <c r="Z100" s="39" t="str">
        <f t="shared" si="31"/>
        <v>,0x46</v>
      </c>
      <c r="AB100" s="73">
        <f t="shared" si="32"/>
        <v>-24</v>
      </c>
      <c r="AD100" s="157">
        <f t="shared" si="33"/>
        <v>0.19400000000000001</v>
      </c>
      <c r="AE100" s="157">
        <f t="shared" si="34"/>
        <v>49.664999999999999</v>
      </c>
      <c r="AG100" s="63" t="str">
        <f t="shared" si="35"/>
        <v>61</v>
      </c>
      <c r="AJ100" s="63" t="str">
        <f t="shared" si="36"/>
        <v>61</v>
      </c>
      <c r="AM100" s="63" t="str">
        <f t="shared" si="37"/>
        <v>61</v>
      </c>
      <c r="AP100" s="63" t="str">
        <f t="shared" si="38"/>
        <v>61</v>
      </c>
      <c r="AS100" s="63" t="str">
        <f t="shared" si="39"/>
        <v>61</v>
      </c>
    </row>
    <row r="101" spans="1:45">
      <c r="A101" s="35" t="str">
        <f t="shared" si="20"/>
        <v>,96</v>
      </c>
      <c r="B101" s="35">
        <v>98</v>
      </c>
      <c r="C101" s="35" t="str">
        <f t="shared" si="21"/>
        <v>62</v>
      </c>
      <c r="D101" s="73">
        <f>ROUND(B101*((100-9.48)/255) +9.48,1)</f>
        <v>44.3</v>
      </c>
      <c r="E101" s="39" t="str">
        <f>",0x" &amp;DEC2HEX(ROUND(D101,0))</f>
        <v>,0x2C</v>
      </c>
      <c r="G101" s="76">
        <f>B101*(1063)/255</f>
        <v>408.52549019607841</v>
      </c>
      <c r="H101" s="153" t="str">
        <f>"," &amp;ROUND(G101/10,0)</f>
        <v>,41</v>
      </c>
      <c r="K101" s="63">
        <v>96</v>
      </c>
      <c r="M101" s="73">
        <f t="shared" si="22"/>
        <v>0.96</v>
      </c>
      <c r="O101" s="72">
        <f t="shared" si="23"/>
        <v>7.69</v>
      </c>
      <c r="Q101" s="73">
        <f t="shared" si="24"/>
        <v>-36.9</v>
      </c>
      <c r="R101" s="39" t="str">
        <f t="shared" si="25"/>
        <v>36</v>
      </c>
      <c r="T101" s="77">
        <f t="shared" si="26"/>
        <v>31.5</v>
      </c>
      <c r="U101" s="155">
        <f t="shared" si="27"/>
        <v>71.5</v>
      </c>
      <c r="V101" s="39" t="str">
        <f t="shared" si="28"/>
        <v>,0x47</v>
      </c>
      <c r="X101" s="77">
        <f t="shared" si="29"/>
        <v>31.5</v>
      </c>
      <c r="Y101" s="155">
        <f t="shared" si="30"/>
        <v>71.5</v>
      </c>
      <c r="Z101" s="39" t="str">
        <f t="shared" si="31"/>
        <v>,0x47</v>
      </c>
      <c r="AB101" s="73">
        <f t="shared" si="32"/>
        <v>-23</v>
      </c>
      <c r="AD101" s="157">
        <f t="shared" si="33"/>
        <v>0.19600000000000001</v>
      </c>
      <c r="AE101" s="157">
        <f t="shared" si="34"/>
        <v>50.177</v>
      </c>
      <c r="AG101" s="63" t="str">
        <f t="shared" si="35"/>
        <v>62</v>
      </c>
      <c r="AJ101" s="63" t="str">
        <f t="shared" si="36"/>
        <v>62</v>
      </c>
      <c r="AM101" s="63" t="str">
        <f t="shared" si="37"/>
        <v>62</v>
      </c>
      <c r="AP101" s="63" t="str">
        <f t="shared" si="38"/>
        <v>62</v>
      </c>
      <c r="AS101" s="63" t="str">
        <f t="shared" si="39"/>
        <v>62</v>
      </c>
    </row>
    <row r="102" spans="1:45">
      <c r="A102" s="35" t="str">
        <f t="shared" si="20"/>
        <v>,97</v>
      </c>
      <c r="B102" s="35">
        <v>99</v>
      </c>
      <c r="C102" s="35" t="str">
        <f t="shared" si="21"/>
        <v>63</v>
      </c>
      <c r="D102" s="73">
        <f>ROUND(B102*((100-9.48)/255) +9.48,1)</f>
        <v>44.6</v>
      </c>
      <c r="E102" s="39" t="str">
        <f>",0x" &amp;DEC2HEX(ROUND(D102,0))</f>
        <v>,0x2D</v>
      </c>
      <c r="G102" s="76">
        <f>B102*(1063)/255</f>
        <v>412.69411764705882</v>
      </c>
      <c r="H102" s="153" t="str">
        <f>"," &amp;ROUND(G102/10,0)</f>
        <v>,41</v>
      </c>
      <c r="K102" s="63">
        <v>97</v>
      </c>
      <c r="M102" s="73">
        <f t="shared" si="22"/>
        <v>0.97</v>
      </c>
      <c r="O102" s="72">
        <f t="shared" si="23"/>
        <v>7.76</v>
      </c>
      <c r="Q102" s="73">
        <f t="shared" si="24"/>
        <v>-36.700000000000003</v>
      </c>
      <c r="R102" s="39" t="str">
        <f t="shared" si="25"/>
        <v>37</v>
      </c>
      <c r="T102" s="77">
        <f t="shared" si="26"/>
        <v>32.1</v>
      </c>
      <c r="U102" s="155">
        <f t="shared" si="27"/>
        <v>72.099999999999994</v>
      </c>
      <c r="V102" s="39" t="str">
        <f t="shared" si="28"/>
        <v>,0x48</v>
      </c>
      <c r="X102" s="77">
        <f t="shared" si="29"/>
        <v>32.1</v>
      </c>
      <c r="Y102" s="155">
        <f t="shared" si="30"/>
        <v>72.099999999999994</v>
      </c>
      <c r="Z102" s="39" t="str">
        <f t="shared" si="31"/>
        <v>,0x48</v>
      </c>
      <c r="AB102" s="73">
        <f t="shared" si="32"/>
        <v>-22</v>
      </c>
      <c r="AD102" s="157">
        <f t="shared" si="33"/>
        <v>0.19800000000000001</v>
      </c>
      <c r="AE102" s="157">
        <f t="shared" si="34"/>
        <v>50.689</v>
      </c>
      <c r="AG102" s="63" t="str">
        <f t="shared" si="35"/>
        <v>63</v>
      </c>
      <c r="AJ102" s="63" t="str">
        <f t="shared" si="36"/>
        <v>63</v>
      </c>
      <c r="AM102" s="63" t="str">
        <f t="shared" si="37"/>
        <v>63</v>
      </c>
      <c r="AP102" s="63" t="str">
        <f t="shared" si="38"/>
        <v>63</v>
      </c>
      <c r="AS102" s="63" t="str">
        <f t="shared" si="39"/>
        <v>63</v>
      </c>
    </row>
    <row r="103" spans="1:45">
      <c r="A103" s="35" t="str">
        <f t="shared" si="20"/>
        <v>,98</v>
      </c>
      <c r="B103" s="35">
        <v>100</v>
      </c>
      <c r="C103" s="35" t="str">
        <f t="shared" si="21"/>
        <v>64</v>
      </c>
      <c r="D103" s="73">
        <f>ROUND(B103*((100-9.48)/255) +9.48,1)</f>
        <v>45</v>
      </c>
      <c r="E103" s="39" t="str">
        <f>",0x" &amp;DEC2HEX(ROUND(D103,0))</f>
        <v>,0x2D</v>
      </c>
      <c r="G103" s="76">
        <f>B103*(1063)/255</f>
        <v>416.86274509803923</v>
      </c>
      <c r="H103" s="153" t="str">
        <f>"," &amp;ROUND(G103/10,0)</f>
        <v>,42</v>
      </c>
      <c r="K103" s="63">
        <v>98</v>
      </c>
      <c r="M103" s="73">
        <f t="shared" si="22"/>
        <v>0.98</v>
      </c>
      <c r="O103" s="72">
        <f t="shared" si="23"/>
        <v>7.84</v>
      </c>
      <c r="Q103" s="73">
        <f t="shared" si="24"/>
        <v>-36.5</v>
      </c>
      <c r="R103" s="39" t="str">
        <f t="shared" si="25"/>
        <v>37</v>
      </c>
      <c r="T103" s="77">
        <f t="shared" si="26"/>
        <v>32.700000000000003</v>
      </c>
      <c r="U103" s="155">
        <f t="shared" si="27"/>
        <v>72.7</v>
      </c>
      <c r="V103" s="39" t="str">
        <f t="shared" si="28"/>
        <v>,0x48</v>
      </c>
      <c r="X103" s="77">
        <f t="shared" si="29"/>
        <v>32.700000000000003</v>
      </c>
      <c r="Y103" s="155">
        <f t="shared" si="30"/>
        <v>72.7</v>
      </c>
      <c r="Z103" s="39" t="str">
        <f t="shared" si="31"/>
        <v>,0x48</v>
      </c>
      <c r="AB103" s="73">
        <f t="shared" si="32"/>
        <v>-22</v>
      </c>
      <c r="AD103" s="157">
        <f t="shared" si="33"/>
        <v>0.2</v>
      </c>
      <c r="AE103" s="157">
        <f t="shared" si="34"/>
        <v>51.201000000000001</v>
      </c>
      <c r="AG103" s="63" t="str">
        <f t="shared" si="35"/>
        <v>64</v>
      </c>
      <c r="AJ103" s="63" t="str">
        <f t="shared" si="36"/>
        <v>64</v>
      </c>
      <c r="AM103" s="63" t="str">
        <f t="shared" si="37"/>
        <v>64</v>
      </c>
      <c r="AP103" s="63" t="str">
        <f t="shared" si="38"/>
        <v>64</v>
      </c>
      <c r="AS103" s="63" t="str">
        <f t="shared" si="39"/>
        <v>64</v>
      </c>
    </row>
    <row r="104" spans="1:45">
      <c r="A104" s="35" t="str">
        <f t="shared" si="20"/>
        <v>,99</v>
      </c>
      <c r="B104" s="35">
        <v>101</v>
      </c>
      <c r="C104" s="35" t="str">
        <f t="shared" si="21"/>
        <v>65</v>
      </c>
      <c r="D104" s="73">
        <f>ROUND(B104*((100-9.48)/255) +9.48,1)</f>
        <v>45.3</v>
      </c>
      <c r="E104" s="39" t="str">
        <f>",0x" &amp;DEC2HEX(ROUND(D104,0))</f>
        <v>,0x2D</v>
      </c>
      <c r="G104" s="76">
        <f>B104*(1063)/255</f>
        <v>421.03137254901964</v>
      </c>
      <c r="H104" s="153" t="str">
        <f>"," &amp;ROUND(G104/10,0)</f>
        <v>,42</v>
      </c>
      <c r="K104" s="63">
        <v>99</v>
      </c>
      <c r="M104" s="73">
        <f t="shared" si="22"/>
        <v>0.99</v>
      </c>
      <c r="O104" s="72">
        <f t="shared" si="23"/>
        <v>7.92</v>
      </c>
      <c r="Q104" s="73">
        <f t="shared" si="24"/>
        <v>-36.200000000000003</v>
      </c>
      <c r="R104" s="39" t="str">
        <f t="shared" si="25"/>
        <v>38</v>
      </c>
      <c r="T104" s="77">
        <f t="shared" si="26"/>
        <v>33.4</v>
      </c>
      <c r="U104" s="155">
        <f t="shared" si="27"/>
        <v>73.400000000000006</v>
      </c>
      <c r="V104" s="39" t="str">
        <f t="shared" si="28"/>
        <v>,0x49</v>
      </c>
      <c r="X104" s="77">
        <f t="shared" si="29"/>
        <v>33.4</v>
      </c>
      <c r="Y104" s="155">
        <f t="shared" si="30"/>
        <v>73.400000000000006</v>
      </c>
      <c r="Z104" s="39" t="str">
        <f t="shared" si="31"/>
        <v>,0x49</v>
      </c>
      <c r="AB104" s="73">
        <f t="shared" si="32"/>
        <v>-21</v>
      </c>
      <c r="AD104" s="157">
        <f t="shared" si="33"/>
        <v>0.20200000000000001</v>
      </c>
      <c r="AE104" s="157">
        <f t="shared" si="34"/>
        <v>51.713000000000001</v>
      </c>
      <c r="AG104" s="63" t="str">
        <f t="shared" si="35"/>
        <v>65</v>
      </c>
      <c r="AJ104" s="63" t="str">
        <f t="shared" si="36"/>
        <v>65</v>
      </c>
      <c r="AM104" s="63" t="str">
        <f t="shared" si="37"/>
        <v>65</v>
      </c>
      <c r="AP104" s="63" t="str">
        <f t="shared" si="38"/>
        <v>65</v>
      </c>
      <c r="AS104" s="63" t="str">
        <f t="shared" si="39"/>
        <v>65</v>
      </c>
    </row>
    <row r="105" spans="1:45">
      <c r="A105" s="35" t="str">
        <f t="shared" si="20"/>
        <v>,100</v>
      </c>
      <c r="B105" s="35">
        <v>102</v>
      </c>
      <c r="C105" s="35" t="str">
        <f t="shared" si="21"/>
        <v>66</v>
      </c>
      <c r="D105" s="73">
        <f>ROUND(B105*((100-9.48)/255) +9.48,1)</f>
        <v>45.7</v>
      </c>
      <c r="E105" s="39" t="str">
        <f>",0x" &amp;DEC2HEX(ROUND(D105,0))</f>
        <v>,0x2E</v>
      </c>
      <c r="G105" s="76">
        <f>B105*(1063)/255</f>
        <v>425.2</v>
      </c>
      <c r="H105" s="153" t="str">
        <f>"," &amp;ROUND(G105/10,0)</f>
        <v>,43</v>
      </c>
      <c r="K105" s="63">
        <v>100</v>
      </c>
      <c r="M105" s="73">
        <f t="shared" si="22"/>
        <v>1</v>
      </c>
      <c r="O105" s="72">
        <f t="shared" si="23"/>
        <v>8</v>
      </c>
      <c r="Q105" s="73">
        <f t="shared" si="24"/>
        <v>-36</v>
      </c>
      <c r="R105" s="39" t="str">
        <f t="shared" si="25"/>
        <v>38</v>
      </c>
      <c r="T105" s="77">
        <f t="shared" si="26"/>
        <v>34</v>
      </c>
      <c r="U105" s="155">
        <f t="shared" si="27"/>
        <v>74</v>
      </c>
      <c r="V105" s="39" t="str">
        <f t="shared" si="28"/>
        <v>,0x4A</v>
      </c>
      <c r="X105" s="77">
        <f t="shared" si="29"/>
        <v>34</v>
      </c>
      <c r="Y105" s="155">
        <f t="shared" si="30"/>
        <v>74</v>
      </c>
      <c r="Z105" s="39" t="str">
        <f t="shared" si="31"/>
        <v>,0x4A</v>
      </c>
      <c r="AB105" s="73">
        <f t="shared" si="32"/>
        <v>-20</v>
      </c>
      <c r="AD105" s="157">
        <f t="shared" si="33"/>
        <v>0.20399999999999999</v>
      </c>
      <c r="AE105" s="157">
        <f t="shared" si="34"/>
        <v>52.225000000000001</v>
      </c>
      <c r="AG105" s="63" t="str">
        <f t="shared" si="35"/>
        <v>66</v>
      </c>
      <c r="AJ105" s="63" t="str">
        <f t="shared" si="36"/>
        <v>66</v>
      </c>
      <c r="AM105" s="63" t="str">
        <f t="shared" si="37"/>
        <v>66</v>
      </c>
      <c r="AP105" s="63" t="str">
        <f t="shared" si="38"/>
        <v>66</v>
      </c>
      <c r="AS105" s="63" t="str">
        <f t="shared" si="39"/>
        <v>66</v>
      </c>
    </row>
    <row r="106" spans="1:45">
      <c r="A106" s="35" t="str">
        <f t="shared" si="20"/>
        <v>,101</v>
      </c>
      <c r="B106" s="35">
        <v>103</v>
      </c>
      <c r="C106" s="35" t="str">
        <f t="shared" si="21"/>
        <v>67</v>
      </c>
      <c r="D106" s="73">
        <f>ROUND(B106*((100-9.48)/255) +9.48,1)</f>
        <v>46</v>
      </c>
      <c r="E106" s="39" t="str">
        <f>",0x" &amp;DEC2HEX(ROUND(D106,0))</f>
        <v>,0x2E</v>
      </c>
      <c r="G106" s="76">
        <f>B106*(1063)/255</f>
        <v>429.3686274509804</v>
      </c>
      <c r="H106" s="153" t="str">
        <f>"," &amp;ROUND(G106/10,0)</f>
        <v>,43</v>
      </c>
      <c r="K106" s="63">
        <v>101</v>
      </c>
      <c r="M106" s="73">
        <f t="shared" si="22"/>
        <v>1.01</v>
      </c>
      <c r="O106" s="72">
        <f t="shared" si="23"/>
        <v>8.08</v>
      </c>
      <c r="Q106" s="73">
        <f t="shared" si="24"/>
        <v>-35.799999999999997</v>
      </c>
      <c r="R106" s="39" t="str">
        <f t="shared" si="25"/>
        <v>38</v>
      </c>
      <c r="T106" s="77">
        <f t="shared" si="26"/>
        <v>34.6</v>
      </c>
      <c r="U106" s="155">
        <f t="shared" si="27"/>
        <v>74.599999999999994</v>
      </c>
      <c r="V106" s="39" t="str">
        <f t="shared" si="28"/>
        <v>,0x4A</v>
      </c>
      <c r="X106" s="77">
        <f t="shared" si="29"/>
        <v>34.6</v>
      </c>
      <c r="Y106" s="155">
        <f t="shared" si="30"/>
        <v>74.599999999999994</v>
      </c>
      <c r="Z106" s="39" t="str">
        <f t="shared" si="31"/>
        <v>,0x4A</v>
      </c>
      <c r="AB106" s="73">
        <f t="shared" si="32"/>
        <v>-19</v>
      </c>
      <c r="AD106" s="157">
        <f t="shared" si="33"/>
        <v>0.20599999999999999</v>
      </c>
      <c r="AE106" s="157">
        <f t="shared" si="34"/>
        <v>52.737000000000002</v>
      </c>
      <c r="AG106" s="63" t="str">
        <f t="shared" si="35"/>
        <v>67</v>
      </c>
      <c r="AJ106" s="63" t="str">
        <f t="shared" si="36"/>
        <v>67</v>
      </c>
      <c r="AM106" s="63" t="str">
        <f t="shared" si="37"/>
        <v>67</v>
      </c>
      <c r="AP106" s="63" t="str">
        <f t="shared" si="38"/>
        <v>67</v>
      </c>
      <c r="AS106" s="63" t="str">
        <f t="shared" si="39"/>
        <v>67</v>
      </c>
    </row>
    <row r="107" spans="1:45">
      <c r="A107" s="35" t="str">
        <f t="shared" si="20"/>
        <v>,102</v>
      </c>
      <c r="B107" s="35">
        <v>104</v>
      </c>
      <c r="C107" s="35" t="str">
        <f t="shared" si="21"/>
        <v>68</v>
      </c>
      <c r="D107" s="73">
        <f>ROUND(B107*((100-9.48)/255) +9.48,1)</f>
        <v>46.4</v>
      </c>
      <c r="E107" s="39" t="str">
        <f>",0x" &amp;DEC2HEX(ROUND(D107,0))</f>
        <v>,0x2E</v>
      </c>
      <c r="G107" s="76">
        <f>B107*(1063)/255</f>
        <v>433.53725490196081</v>
      </c>
      <c r="H107" s="153" t="str">
        <f>"," &amp;ROUND(G107/10,0)</f>
        <v>,43</v>
      </c>
      <c r="K107" s="63">
        <v>102</v>
      </c>
      <c r="M107" s="73">
        <f t="shared" si="22"/>
        <v>1.02</v>
      </c>
      <c r="O107" s="72">
        <f t="shared" si="23"/>
        <v>8.16</v>
      </c>
      <c r="Q107" s="73">
        <f t="shared" si="24"/>
        <v>-35.5</v>
      </c>
      <c r="R107" s="39" t="str">
        <f t="shared" si="25"/>
        <v>39</v>
      </c>
      <c r="T107" s="77">
        <f t="shared" si="26"/>
        <v>35.299999999999997</v>
      </c>
      <c r="U107" s="155">
        <f t="shared" si="27"/>
        <v>75.3</v>
      </c>
      <c r="V107" s="39" t="str">
        <f t="shared" si="28"/>
        <v>,0x4B</v>
      </c>
      <c r="X107" s="77">
        <f t="shared" si="29"/>
        <v>35.299999999999997</v>
      </c>
      <c r="Y107" s="155">
        <f t="shared" si="30"/>
        <v>75.3</v>
      </c>
      <c r="Z107" s="39" t="str">
        <f t="shared" si="31"/>
        <v>,0x4B</v>
      </c>
      <c r="AB107" s="73">
        <f t="shared" si="32"/>
        <v>-18</v>
      </c>
      <c r="AD107" s="157">
        <f t="shared" si="33"/>
        <v>0.20799999999999999</v>
      </c>
      <c r="AE107" s="157">
        <f t="shared" si="34"/>
        <v>53.249000000000002</v>
      </c>
      <c r="AG107" s="63" t="str">
        <f t="shared" si="35"/>
        <v>68</v>
      </c>
      <c r="AJ107" s="63" t="str">
        <f t="shared" si="36"/>
        <v>68</v>
      </c>
      <c r="AM107" s="63" t="str">
        <f t="shared" si="37"/>
        <v>68</v>
      </c>
      <c r="AP107" s="63" t="str">
        <f t="shared" si="38"/>
        <v>68</v>
      </c>
      <c r="AS107" s="63" t="str">
        <f t="shared" si="39"/>
        <v>68</v>
      </c>
    </row>
    <row r="108" spans="1:45">
      <c r="A108" s="35" t="str">
        <f t="shared" si="20"/>
        <v>,103</v>
      </c>
      <c r="B108" s="35">
        <v>105</v>
      </c>
      <c r="C108" s="35" t="str">
        <f t="shared" si="21"/>
        <v>69</v>
      </c>
      <c r="D108" s="73">
        <f>ROUND(B108*((100-9.48)/255) +9.48,1)</f>
        <v>46.8</v>
      </c>
      <c r="E108" s="39" t="str">
        <f>",0x" &amp;DEC2HEX(ROUND(D108,0))</f>
        <v>,0x2F</v>
      </c>
      <c r="G108" s="76">
        <f>B108*(1063)/255</f>
        <v>437.70588235294116</v>
      </c>
      <c r="H108" s="153" t="str">
        <f>"," &amp;ROUND(G108/10,0)</f>
        <v>,44</v>
      </c>
      <c r="K108" s="63">
        <v>103</v>
      </c>
      <c r="M108" s="73">
        <f t="shared" si="22"/>
        <v>1.03</v>
      </c>
      <c r="O108" s="72">
        <f t="shared" si="23"/>
        <v>8.24</v>
      </c>
      <c r="Q108" s="73">
        <f t="shared" si="24"/>
        <v>-35.299999999999997</v>
      </c>
      <c r="R108" s="39" t="str">
        <f t="shared" si="25"/>
        <v>39</v>
      </c>
      <c r="T108" s="77">
        <f t="shared" si="26"/>
        <v>35.9</v>
      </c>
      <c r="U108" s="155">
        <f t="shared" si="27"/>
        <v>75.900000000000006</v>
      </c>
      <c r="V108" s="39" t="str">
        <f t="shared" si="28"/>
        <v>,0x4B</v>
      </c>
      <c r="X108" s="77">
        <f t="shared" si="29"/>
        <v>35.9</v>
      </c>
      <c r="Y108" s="155">
        <f t="shared" si="30"/>
        <v>75.900000000000006</v>
      </c>
      <c r="Z108" s="39" t="str">
        <f t="shared" si="31"/>
        <v>,0x4B</v>
      </c>
      <c r="AB108" s="73">
        <f t="shared" si="32"/>
        <v>-18</v>
      </c>
      <c r="AD108" s="157">
        <f t="shared" si="33"/>
        <v>0.21</v>
      </c>
      <c r="AE108" s="157">
        <f t="shared" si="34"/>
        <v>53.761000000000003</v>
      </c>
      <c r="AG108" s="63" t="str">
        <f t="shared" si="35"/>
        <v>69</v>
      </c>
      <c r="AJ108" s="63" t="str">
        <f t="shared" si="36"/>
        <v>69</v>
      </c>
      <c r="AM108" s="63" t="str">
        <f t="shared" si="37"/>
        <v>69</v>
      </c>
      <c r="AP108" s="63" t="str">
        <f t="shared" si="38"/>
        <v>69</v>
      </c>
      <c r="AS108" s="63" t="str">
        <f t="shared" si="39"/>
        <v>69</v>
      </c>
    </row>
    <row r="109" spans="1:45">
      <c r="A109" s="35" t="str">
        <f t="shared" si="20"/>
        <v>,104</v>
      </c>
      <c r="B109" s="35">
        <v>106</v>
      </c>
      <c r="C109" s="35" t="str">
        <f t="shared" si="21"/>
        <v>6A</v>
      </c>
      <c r="D109" s="73">
        <f>ROUND(B109*((100-9.48)/255) +9.48,1)</f>
        <v>47.1</v>
      </c>
      <c r="E109" s="39" t="str">
        <f>",0x" &amp;DEC2HEX(ROUND(D109,0))</f>
        <v>,0x2F</v>
      </c>
      <c r="G109" s="76">
        <f>B109*(1063)/255</f>
        <v>441.87450980392157</v>
      </c>
      <c r="H109" s="153" t="str">
        <f>"," &amp;ROUND(G109/10,0)</f>
        <v>,44</v>
      </c>
      <c r="K109" s="63">
        <v>104</v>
      </c>
      <c r="M109" s="73">
        <f t="shared" si="22"/>
        <v>1.04</v>
      </c>
      <c r="O109" s="72">
        <f t="shared" si="23"/>
        <v>8.31</v>
      </c>
      <c r="Q109" s="73">
        <f t="shared" si="24"/>
        <v>-35.1</v>
      </c>
      <c r="R109" s="39" t="str">
        <f t="shared" si="25"/>
        <v>3A</v>
      </c>
      <c r="T109" s="77">
        <f t="shared" si="26"/>
        <v>36.5</v>
      </c>
      <c r="U109" s="155">
        <f t="shared" si="27"/>
        <v>76.5</v>
      </c>
      <c r="V109" s="39" t="str">
        <f t="shared" si="28"/>
        <v>,0x4C</v>
      </c>
      <c r="X109" s="77">
        <f t="shared" si="29"/>
        <v>36.5</v>
      </c>
      <c r="Y109" s="155">
        <f t="shared" si="30"/>
        <v>76.5</v>
      </c>
      <c r="Z109" s="39" t="str">
        <f t="shared" si="31"/>
        <v>,0x4C</v>
      </c>
      <c r="AB109" s="73">
        <f t="shared" si="32"/>
        <v>-17</v>
      </c>
      <c r="AD109" s="157">
        <f t="shared" si="33"/>
        <v>0.21199999999999999</v>
      </c>
      <c r="AE109" s="157">
        <f t="shared" si="34"/>
        <v>54.273000000000003</v>
      </c>
      <c r="AG109" s="63" t="str">
        <f t="shared" si="35"/>
        <v>6A</v>
      </c>
      <c r="AJ109" s="63" t="str">
        <f t="shared" si="36"/>
        <v>6A</v>
      </c>
      <c r="AM109" s="63" t="str">
        <f t="shared" si="37"/>
        <v>6A</v>
      </c>
      <c r="AP109" s="63" t="str">
        <f t="shared" si="38"/>
        <v>6A</v>
      </c>
      <c r="AS109" s="63" t="str">
        <f t="shared" si="39"/>
        <v>6A</v>
      </c>
    </row>
    <row r="110" spans="1:45">
      <c r="A110" s="35" t="str">
        <f t="shared" si="20"/>
        <v>,105</v>
      </c>
      <c r="B110" s="35">
        <v>107</v>
      </c>
      <c r="C110" s="35" t="str">
        <f t="shared" si="21"/>
        <v>6B</v>
      </c>
      <c r="D110" s="73">
        <f>ROUND(B110*((100-9.48)/255) +9.48,1)</f>
        <v>47.5</v>
      </c>
      <c r="E110" s="39" t="str">
        <f>",0x" &amp;DEC2HEX(ROUND(D110,0))</f>
        <v>,0x30</v>
      </c>
      <c r="G110" s="76">
        <f>B110*(1063)/255</f>
        <v>446.04313725490198</v>
      </c>
      <c r="H110" s="153" t="str">
        <f>"," &amp;ROUND(G110/10,0)</f>
        <v>,45</v>
      </c>
      <c r="K110" s="63">
        <v>105</v>
      </c>
      <c r="M110" s="73">
        <f t="shared" si="22"/>
        <v>1.05</v>
      </c>
      <c r="O110" s="72">
        <f t="shared" si="23"/>
        <v>8.39</v>
      </c>
      <c r="Q110" s="73">
        <f t="shared" si="24"/>
        <v>-34.799999999999997</v>
      </c>
      <c r="R110" s="39" t="str">
        <f t="shared" si="25"/>
        <v>3A</v>
      </c>
      <c r="T110" s="77">
        <f t="shared" si="26"/>
        <v>37.1</v>
      </c>
      <c r="U110" s="155">
        <f t="shared" si="27"/>
        <v>77.099999999999994</v>
      </c>
      <c r="V110" s="39" t="str">
        <f t="shared" si="28"/>
        <v>,0x4D</v>
      </c>
      <c r="X110" s="77">
        <f t="shared" si="29"/>
        <v>37.1</v>
      </c>
      <c r="Y110" s="155">
        <f t="shared" si="30"/>
        <v>77.099999999999994</v>
      </c>
      <c r="Z110" s="39" t="str">
        <f t="shared" si="31"/>
        <v>,0x4D</v>
      </c>
      <c r="AB110" s="73">
        <f t="shared" si="32"/>
        <v>-16</v>
      </c>
      <c r="AD110" s="157">
        <f t="shared" si="33"/>
        <v>0.214</v>
      </c>
      <c r="AE110" s="157">
        <f t="shared" si="34"/>
        <v>54.784999999999997</v>
      </c>
      <c r="AG110" s="63" t="str">
        <f t="shared" si="35"/>
        <v>6B</v>
      </c>
      <c r="AJ110" s="63" t="str">
        <f t="shared" si="36"/>
        <v>6B</v>
      </c>
      <c r="AM110" s="63" t="str">
        <f t="shared" si="37"/>
        <v>6B</v>
      </c>
      <c r="AP110" s="63" t="str">
        <f t="shared" si="38"/>
        <v>6B</v>
      </c>
      <c r="AS110" s="63" t="str">
        <f t="shared" si="39"/>
        <v>6B</v>
      </c>
    </row>
    <row r="111" spans="1:45">
      <c r="A111" s="35" t="str">
        <f t="shared" si="20"/>
        <v>,105</v>
      </c>
      <c r="B111" s="35">
        <v>108</v>
      </c>
      <c r="C111" s="35" t="str">
        <f t="shared" si="21"/>
        <v>6C</v>
      </c>
      <c r="D111" s="73">
        <f>ROUND(B111*((100-9.48)/255) +9.48,1)</f>
        <v>47.8</v>
      </c>
      <c r="E111" s="39" t="str">
        <f>",0x" &amp;DEC2HEX(ROUND(D111,0))</f>
        <v>,0x30</v>
      </c>
      <c r="G111" s="76">
        <f>B111*(1063)/255</f>
        <v>450.21176470588233</v>
      </c>
      <c r="H111" s="153" t="str">
        <f>"," &amp;ROUND(G111/10,0)</f>
        <v>,45</v>
      </c>
      <c r="K111" s="63">
        <v>105</v>
      </c>
      <c r="M111" s="73">
        <f t="shared" si="22"/>
        <v>1.06</v>
      </c>
      <c r="O111" s="72">
        <f t="shared" si="23"/>
        <v>8.4700000000000006</v>
      </c>
      <c r="Q111" s="73">
        <f t="shared" si="24"/>
        <v>-34.6</v>
      </c>
      <c r="R111" s="39" t="str">
        <f t="shared" si="25"/>
        <v>3B</v>
      </c>
      <c r="T111" s="77">
        <f t="shared" si="26"/>
        <v>37.799999999999997</v>
      </c>
      <c r="U111" s="155">
        <f t="shared" si="27"/>
        <v>77.8</v>
      </c>
      <c r="V111" s="39" t="str">
        <f t="shared" si="28"/>
        <v>,0x4D</v>
      </c>
      <c r="X111" s="77">
        <f t="shared" si="29"/>
        <v>37.799999999999997</v>
      </c>
      <c r="Y111" s="155">
        <f t="shared" si="30"/>
        <v>77.8</v>
      </c>
      <c r="Z111" s="39" t="str">
        <f t="shared" si="31"/>
        <v>,0x4D</v>
      </c>
      <c r="AB111" s="73">
        <f t="shared" si="32"/>
        <v>-15</v>
      </c>
      <c r="AD111" s="157">
        <f t="shared" si="33"/>
        <v>0.216</v>
      </c>
      <c r="AE111" s="157">
        <f t="shared" si="34"/>
        <v>55.296999999999997</v>
      </c>
      <c r="AG111" s="63" t="str">
        <f t="shared" si="35"/>
        <v>6C</v>
      </c>
      <c r="AJ111" s="63" t="str">
        <f t="shared" si="36"/>
        <v>6C</v>
      </c>
      <c r="AM111" s="63" t="str">
        <f t="shared" si="37"/>
        <v>6C</v>
      </c>
      <c r="AP111" s="63" t="str">
        <f t="shared" si="38"/>
        <v>6C</v>
      </c>
      <c r="AS111" s="63" t="str">
        <f t="shared" si="39"/>
        <v>6C</v>
      </c>
    </row>
    <row r="112" spans="1:45">
      <c r="A112" s="35" t="str">
        <f t="shared" si="20"/>
        <v>,106</v>
      </c>
      <c r="B112" s="35">
        <v>109</v>
      </c>
      <c r="C112" s="35" t="str">
        <f t="shared" si="21"/>
        <v>6D</v>
      </c>
      <c r="D112" s="73">
        <f>ROUND(B112*((100-9.48)/255) +9.48,1)</f>
        <v>48.2</v>
      </c>
      <c r="E112" s="39" t="str">
        <f>",0x" &amp;DEC2HEX(ROUND(D112,0))</f>
        <v>,0x30</v>
      </c>
      <c r="G112" s="76">
        <f>B112*(1063)/255</f>
        <v>454.38039215686274</v>
      </c>
      <c r="H112" s="153" t="str">
        <f>"," &amp;ROUND(G112/10,0)</f>
        <v>,45</v>
      </c>
      <c r="K112" s="63">
        <v>106</v>
      </c>
      <c r="M112" s="73">
        <f t="shared" si="22"/>
        <v>1.07</v>
      </c>
      <c r="O112" s="72">
        <f t="shared" si="23"/>
        <v>8.5500000000000007</v>
      </c>
      <c r="Q112" s="73">
        <f t="shared" si="24"/>
        <v>-34.4</v>
      </c>
      <c r="R112" s="39" t="str">
        <f t="shared" si="25"/>
        <v>3B</v>
      </c>
      <c r="T112" s="77">
        <f t="shared" si="26"/>
        <v>38.4</v>
      </c>
      <c r="U112" s="155">
        <f t="shared" si="27"/>
        <v>78.400000000000006</v>
      </c>
      <c r="V112" s="39" t="str">
        <f t="shared" si="28"/>
        <v>,0x4E</v>
      </c>
      <c r="X112" s="77">
        <f t="shared" si="29"/>
        <v>38.4</v>
      </c>
      <c r="Y112" s="155">
        <f t="shared" si="30"/>
        <v>78.400000000000006</v>
      </c>
      <c r="Z112" s="39" t="str">
        <f t="shared" si="31"/>
        <v>,0x4E</v>
      </c>
      <c r="AB112" s="73">
        <f t="shared" si="32"/>
        <v>-15</v>
      </c>
      <c r="AD112" s="157">
        <f t="shared" si="33"/>
        <v>0.218</v>
      </c>
      <c r="AE112" s="157">
        <f t="shared" si="34"/>
        <v>55.808999999999997</v>
      </c>
      <c r="AG112" s="63" t="str">
        <f t="shared" si="35"/>
        <v>6D</v>
      </c>
      <c r="AJ112" s="63" t="str">
        <f t="shared" si="36"/>
        <v>6D</v>
      </c>
      <c r="AM112" s="63" t="str">
        <f t="shared" si="37"/>
        <v>6D</v>
      </c>
      <c r="AP112" s="63" t="str">
        <f t="shared" si="38"/>
        <v>6D</v>
      </c>
      <c r="AS112" s="63" t="str">
        <f t="shared" si="39"/>
        <v>6D</v>
      </c>
    </row>
    <row r="113" spans="1:45">
      <c r="A113" s="35" t="str">
        <f t="shared" si="20"/>
        <v>,107</v>
      </c>
      <c r="B113" s="35">
        <v>110</v>
      </c>
      <c r="C113" s="35" t="str">
        <f t="shared" si="21"/>
        <v>6E</v>
      </c>
      <c r="D113" s="73">
        <f>ROUND(B113*((100-9.48)/255) +9.48,1)</f>
        <v>48.5</v>
      </c>
      <c r="E113" s="39" t="str">
        <f>",0x" &amp;DEC2HEX(ROUND(D113,0))</f>
        <v>,0x31</v>
      </c>
      <c r="G113" s="76">
        <f>B113*(1063)/255</f>
        <v>458.54901960784315</v>
      </c>
      <c r="H113" s="153" t="str">
        <f>"," &amp;ROUND(G113/10,0)</f>
        <v>,46</v>
      </c>
      <c r="K113" s="63">
        <v>107</v>
      </c>
      <c r="M113" s="73">
        <f t="shared" si="22"/>
        <v>1.08</v>
      </c>
      <c r="O113" s="72">
        <f t="shared" si="23"/>
        <v>8.6300000000000008</v>
      </c>
      <c r="Q113" s="73">
        <f t="shared" si="24"/>
        <v>-34.1</v>
      </c>
      <c r="R113" s="39" t="str">
        <f t="shared" si="25"/>
        <v>3C</v>
      </c>
      <c r="T113" s="77">
        <f t="shared" si="26"/>
        <v>39</v>
      </c>
      <c r="U113" s="155">
        <f t="shared" si="27"/>
        <v>79</v>
      </c>
      <c r="V113" s="39" t="str">
        <f t="shared" si="28"/>
        <v>,0x4F</v>
      </c>
      <c r="X113" s="77">
        <f t="shared" si="29"/>
        <v>39</v>
      </c>
      <c r="Y113" s="155">
        <f t="shared" si="30"/>
        <v>79</v>
      </c>
      <c r="Z113" s="39" t="str">
        <f t="shared" si="31"/>
        <v>,0x4F</v>
      </c>
      <c r="AB113" s="73">
        <f t="shared" si="32"/>
        <v>-14</v>
      </c>
      <c r="AD113" s="157">
        <f t="shared" si="33"/>
        <v>0.22</v>
      </c>
      <c r="AE113" s="157">
        <f t="shared" si="34"/>
        <v>56.320999999999998</v>
      </c>
      <c r="AG113" s="63" t="str">
        <f t="shared" si="35"/>
        <v>6E</v>
      </c>
      <c r="AJ113" s="63" t="str">
        <f t="shared" si="36"/>
        <v>6E</v>
      </c>
      <c r="AM113" s="63" t="str">
        <f t="shared" si="37"/>
        <v>6E</v>
      </c>
      <c r="AP113" s="63" t="str">
        <f t="shared" si="38"/>
        <v>6E</v>
      </c>
      <c r="AS113" s="63" t="str">
        <f t="shared" si="39"/>
        <v>6E</v>
      </c>
    </row>
    <row r="114" spans="1:45">
      <c r="A114" s="35" t="str">
        <f t="shared" si="20"/>
        <v>,108</v>
      </c>
      <c r="B114" s="35">
        <v>111</v>
      </c>
      <c r="C114" s="35" t="str">
        <f t="shared" si="21"/>
        <v>6F</v>
      </c>
      <c r="D114" s="73">
        <f>ROUND(B114*((100-9.48)/255) +9.48,1)</f>
        <v>48.9</v>
      </c>
      <c r="E114" s="39" t="str">
        <f>",0x" &amp;DEC2HEX(ROUND(D114,0))</f>
        <v>,0x31</v>
      </c>
      <c r="G114" s="76">
        <f>B114*(1063)/255</f>
        <v>462.7176470588235</v>
      </c>
      <c r="H114" s="153" t="str">
        <f>"," &amp;ROUND(G114/10,0)</f>
        <v>,46</v>
      </c>
      <c r="K114" s="63">
        <v>108</v>
      </c>
      <c r="M114" s="73">
        <f t="shared" si="22"/>
        <v>1.0900000000000001</v>
      </c>
      <c r="O114" s="72">
        <f t="shared" si="23"/>
        <v>8.7100000000000009</v>
      </c>
      <c r="Q114" s="73">
        <f t="shared" si="24"/>
        <v>-33.9</v>
      </c>
      <c r="R114" s="39" t="str">
        <f t="shared" si="25"/>
        <v>3C</v>
      </c>
      <c r="T114" s="77">
        <f t="shared" si="26"/>
        <v>39.6</v>
      </c>
      <c r="U114" s="155">
        <f t="shared" si="27"/>
        <v>79.599999999999994</v>
      </c>
      <c r="V114" s="39" t="str">
        <f t="shared" si="28"/>
        <v>,0x4F</v>
      </c>
      <c r="X114" s="77">
        <f t="shared" si="29"/>
        <v>39.6</v>
      </c>
      <c r="Y114" s="155">
        <f t="shared" si="30"/>
        <v>79.599999999999994</v>
      </c>
      <c r="Z114" s="39" t="str">
        <f t="shared" si="31"/>
        <v>,0x4F</v>
      </c>
      <c r="AB114" s="73">
        <f t="shared" si="32"/>
        <v>-13</v>
      </c>
      <c r="AD114" s="157">
        <f t="shared" si="33"/>
        <v>0.222</v>
      </c>
      <c r="AE114" s="157">
        <f t="shared" si="34"/>
        <v>56.832999999999998</v>
      </c>
      <c r="AG114" s="63" t="str">
        <f t="shared" si="35"/>
        <v>6F</v>
      </c>
      <c r="AJ114" s="63" t="str">
        <f t="shared" si="36"/>
        <v>6F</v>
      </c>
      <c r="AM114" s="63" t="str">
        <f t="shared" si="37"/>
        <v>6F</v>
      </c>
      <c r="AP114" s="63" t="str">
        <f t="shared" si="38"/>
        <v>6F</v>
      </c>
      <c r="AS114" s="63" t="str">
        <f t="shared" si="39"/>
        <v>6F</v>
      </c>
    </row>
    <row r="115" spans="1:45">
      <c r="A115" s="35" t="str">
        <f t="shared" si="20"/>
        <v>,109</v>
      </c>
      <c r="B115" s="35">
        <v>112</v>
      </c>
      <c r="C115" s="35" t="str">
        <f t="shared" si="21"/>
        <v>70</v>
      </c>
      <c r="D115" s="73">
        <f>ROUND(B115*((100-9.48)/255) +9.48,1)</f>
        <v>49.2</v>
      </c>
      <c r="E115" s="39" t="str">
        <f>",0x" &amp;DEC2HEX(ROUND(D115,0))</f>
        <v>,0x31</v>
      </c>
      <c r="G115" s="76">
        <f>B115*(1063)/255</f>
        <v>466.88627450980391</v>
      </c>
      <c r="H115" s="153" t="str">
        <f>"," &amp;ROUND(G115/10,0)</f>
        <v>,47</v>
      </c>
      <c r="K115" s="63">
        <v>109</v>
      </c>
      <c r="M115" s="73">
        <f t="shared" si="22"/>
        <v>1.1000000000000001</v>
      </c>
      <c r="O115" s="72">
        <f t="shared" si="23"/>
        <v>8.7799999999999994</v>
      </c>
      <c r="Q115" s="73">
        <f t="shared" si="24"/>
        <v>-33.6</v>
      </c>
      <c r="R115" s="39" t="str">
        <f t="shared" si="25"/>
        <v>3D</v>
      </c>
      <c r="T115" s="77">
        <f t="shared" si="26"/>
        <v>40.299999999999997</v>
      </c>
      <c r="U115" s="155">
        <f t="shared" si="27"/>
        <v>80.3</v>
      </c>
      <c r="V115" s="39" t="str">
        <f t="shared" si="28"/>
        <v>,0x50</v>
      </c>
      <c r="X115" s="77">
        <f t="shared" si="29"/>
        <v>40.299999999999997</v>
      </c>
      <c r="Y115" s="155">
        <f t="shared" si="30"/>
        <v>80.3</v>
      </c>
      <c r="Z115" s="39" t="str">
        <f t="shared" si="31"/>
        <v>,0x50</v>
      </c>
      <c r="AB115" s="73">
        <f t="shared" si="32"/>
        <v>-12</v>
      </c>
      <c r="AD115" s="157">
        <f t="shared" si="33"/>
        <v>0.224</v>
      </c>
      <c r="AE115" s="157">
        <f t="shared" si="34"/>
        <v>57.344999999999999</v>
      </c>
      <c r="AG115" s="63" t="str">
        <f t="shared" si="35"/>
        <v>70</v>
      </c>
      <c r="AJ115" s="63" t="str">
        <f t="shared" si="36"/>
        <v>70</v>
      </c>
      <c r="AM115" s="63" t="str">
        <f t="shared" si="37"/>
        <v>70</v>
      </c>
      <c r="AP115" s="63" t="str">
        <f t="shared" si="38"/>
        <v>70</v>
      </c>
      <c r="AS115" s="63" t="str">
        <f t="shared" si="39"/>
        <v>70</v>
      </c>
    </row>
    <row r="116" spans="1:45">
      <c r="A116" s="35" t="str">
        <f t="shared" si="20"/>
        <v>,110</v>
      </c>
      <c r="B116" s="35">
        <v>113</v>
      </c>
      <c r="C116" s="35" t="str">
        <f t="shared" si="21"/>
        <v>71</v>
      </c>
      <c r="D116" s="73">
        <f>ROUND(B116*((100-9.48)/255) +9.48,1)</f>
        <v>49.6</v>
      </c>
      <c r="E116" s="39" t="str">
        <f>",0x" &amp;DEC2HEX(ROUND(D116,0))</f>
        <v>,0x32</v>
      </c>
      <c r="G116" s="76">
        <f>B116*(1063)/255</f>
        <v>471.05490196078432</v>
      </c>
      <c r="H116" s="153" t="str">
        <f>"," &amp;ROUND(G116/10,0)</f>
        <v>,47</v>
      </c>
      <c r="K116" s="63">
        <v>110</v>
      </c>
      <c r="M116" s="73">
        <f t="shared" si="22"/>
        <v>1.1100000000000001</v>
      </c>
      <c r="O116" s="72">
        <f t="shared" si="23"/>
        <v>8.86</v>
      </c>
      <c r="Q116" s="73">
        <f t="shared" si="24"/>
        <v>-33.4</v>
      </c>
      <c r="R116" s="39" t="str">
        <f t="shared" si="25"/>
        <v>3D</v>
      </c>
      <c r="T116" s="77">
        <f t="shared" si="26"/>
        <v>40.9</v>
      </c>
      <c r="U116" s="155">
        <f t="shared" si="27"/>
        <v>80.900000000000006</v>
      </c>
      <c r="V116" s="39" t="str">
        <f t="shared" si="28"/>
        <v>,0x50</v>
      </c>
      <c r="X116" s="77">
        <f t="shared" si="29"/>
        <v>40.9</v>
      </c>
      <c r="Y116" s="155">
        <f t="shared" si="30"/>
        <v>80.900000000000006</v>
      </c>
      <c r="Z116" s="39" t="str">
        <f t="shared" si="31"/>
        <v>,0x50</v>
      </c>
      <c r="AB116" s="73">
        <f t="shared" si="32"/>
        <v>-11</v>
      </c>
      <c r="AD116" s="157">
        <f t="shared" si="33"/>
        <v>0.22600000000000001</v>
      </c>
      <c r="AE116" s="157">
        <f t="shared" si="34"/>
        <v>57.856999999999999</v>
      </c>
      <c r="AG116" s="63" t="str">
        <f t="shared" si="35"/>
        <v>71</v>
      </c>
      <c r="AJ116" s="63" t="str">
        <f t="shared" si="36"/>
        <v>71</v>
      </c>
      <c r="AM116" s="63" t="str">
        <f t="shared" si="37"/>
        <v>71</v>
      </c>
      <c r="AP116" s="63" t="str">
        <f t="shared" si="38"/>
        <v>71</v>
      </c>
      <c r="AS116" s="63" t="str">
        <f t="shared" si="39"/>
        <v>71</v>
      </c>
    </row>
    <row r="117" spans="1:45">
      <c r="A117" s="35" t="str">
        <f t="shared" si="20"/>
        <v>,111</v>
      </c>
      <c r="B117" s="35">
        <v>114</v>
      </c>
      <c r="C117" s="35" t="str">
        <f t="shared" si="21"/>
        <v>72</v>
      </c>
      <c r="D117" s="73">
        <f>ROUND(B117*((100-9.48)/255) +9.48,1)</f>
        <v>49.9</v>
      </c>
      <c r="E117" s="39" t="str">
        <f>",0x" &amp;DEC2HEX(ROUND(D117,0))</f>
        <v>,0x32</v>
      </c>
      <c r="G117" s="76">
        <f>B117*(1063)/255</f>
        <v>475.22352941176473</v>
      </c>
      <c r="H117" s="153" t="str">
        <f>"," &amp;ROUND(G117/10,0)</f>
        <v>,48</v>
      </c>
      <c r="K117" s="63">
        <v>111</v>
      </c>
      <c r="M117" s="73">
        <f t="shared" si="22"/>
        <v>1.1200000000000001</v>
      </c>
      <c r="O117" s="72">
        <f t="shared" si="23"/>
        <v>8.94</v>
      </c>
      <c r="Q117" s="73">
        <f t="shared" si="24"/>
        <v>-33.200000000000003</v>
      </c>
      <c r="R117" s="39" t="str">
        <f t="shared" si="25"/>
        <v>3E</v>
      </c>
      <c r="T117" s="77">
        <f t="shared" si="26"/>
        <v>41.5</v>
      </c>
      <c r="U117" s="155">
        <f t="shared" si="27"/>
        <v>81.5</v>
      </c>
      <c r="V117" s="39" t="str">
        <f t="shared" si="28"/>
        <v>,0x51</v>
      </c>
      <c r="X117" s="77">
        <f t="shared" si="29"/>
        <v>41.5</v>
      </c>
      <c r="Y117" s="155">
        <f t="shared" si="30"/>
        <v>81.5</v>
      </c>
      <c r="Z117" s="39" t="str">
        <f t="shared" si="31"/>
        <v>,0x51</v>
      </c>
      <c r="AB117" s="73">
        <f t="shared" si="32"/>
        <v>-11</v>
      </c>
      <c r="AD117" s="157">
        <f t="shared" si="33"/>
        <v>0.22800000000000001</v>
      </c>
      <c r="AE117" s="157">
        <f t="shared" si="34"/>
        <v>58.369</v>
      </c>
      <c r="AG117" s="63" t="str">
        <f t="shared" si="35"/>
        <v>72</v>
      </c>
      <c r="AJ117" s="63" t="str">
        <f t="shared" si="36"/>
        <v>72</v>
      </c>
      <c r="AM117" s="63" t="str">
        <f t="shared" si="37"/>
        <v>72</v>
      </c>
      <c r="AP117" s="63" t="str">
        <f t="shared" si="38"/>
        <v>72</v>
      </c>
      <c r="AS117" s="63" t="str">
        <f t="shared" si="39"/>
        <v>72</v>
      </c>
    </row>
    <row r="118" spans="1:45">
      <c r="A118" s="35" t="str">
        <f t="shared" si="20"/>
        <v>,112</v>
      </c>
      <c r="B118" s="35">
        <v>115</v>
      </c>
      <c r="C118" s="35" t="str">
        <f t="shared" si="21"/>
        <v>73</v>
      </c>
      <c r="D118" s="73">
        <f>ROUND(B118*((100-9.48)/255) +9.48,1)</f>
        <v>50.3</v>
      </c>
      <c r="E118" s="39" t="str">
        <f>",0x" &amp;DEC2HEX(ROUND(D118,0))</f>
        <v>,0x32</v>
      </c>
      <c r="G118" s="76">
        <f>B118*(1063)/255</f>
        <v>479.39215686274508</v>
      </c>
      <c r="H118" s="153" t="str">
        <f>"," &amp;ROUND(G118/10,0)</f>
        <v>,48</v>
      </c>
      <c r="K118" s="63">
        <v>112</v>
      </c>
      <c r="M118" s="73">
        <f t="shared" si="22"/>
        <v>1.1299999999999999</v>
      </c>
      <c r="O118" s="72">
        <f t="shared" si="23"/>
        <v>9.02</v>
      </c>
      <c r="Q118" s="73">
        <f t="shared" si="24"/>
        <v>-32.9</v>
      </c>
      <c r="R118" s="39" t="str">
        <f t="shared" si="25"/>
        <v>3E</v>
      </c>
      <c r="T118" s="77">
        <f t="shared" si="26"/>
        <v>42.2</v>
      </c>
      <c r="U118" s="155">
        <f t="shared" si="27"/>
        <v>82.2</v>
      </c>
      <c r="V118" s="39" t="str">
        <f t="shared" si="28"/>
        <v>,0x52</v>
      </c>
      <c r="X118" s="77">
        <f t="shared" si="29"/>
        <v>42.2</v>
      </c>
      <c r="Y118" s="155">
        <f t="shared" si="30"/>
        <v>82.2</v>
      </c>
      <c r="Z118" s="39" t="str">
        <f t="shared" si="31"/>
        <v>,0x52</v>
      </c>
      <c r="AB118" s="73">
        <f t="shared" si="32"/>
        <v>-10</v>
      </c>
      <c r="AD118" s="157">
        <f t="shared" si="33"/>
        <v>0.23</v>
      </c>
      <c r="AE118" s="157">
        <f t="shared" si="34"/>
        <v>58.881</v>
      </c>
      <c r="AG118" s="63" t="str">
        <f t="shared" si="35"/>
        <v>73</v>
      </c>
      <c r="AJ118" s="63" t="str">
        <f t="shared" si="36"/>
        <v>73</v>
      </c>
      <c r="AM118" s="63" t="str">
        <f t="shared" si="37"/>
        <v>73</v>
      </c>
      <c r="AP118" s="63" t="str">
        <f t="shared" si="38"/>
        <v>73</v>
      </c>
      <c r="AS118" s="63" t="str">
        <f t="shared" si="39"/>
        <v>73</v>
      </c>
    </row>
    <row r="119" spans="1:45">
      <c r="A119" s="35" t="str">
        <f t="shared" si="20"/>
        <v>,113</v>
      </c>
      <c r="B119" s="35">
        <v>116</v>
      </c>
      <c r="C119" s="35" t="str">
        <f t="shared" si="21"/>
        <v>74</v>
      </c>
      <c r="D119" s="73">
        <f>ROUND(B119*((100-9.48)/255) +9.48,1)</f>
        <v>50.7</v>
      </c>
      <c r="E119" s="39" t="str">
        <f>",0x" &amp;DEC2HEX(ROUND(D119,0))</f>
        <v>,0x33</v>
      </c>
      <c r="G119" s="76">
        <f>B119*(1063)/255</f>
        <v>483.56078431372549</v>
      </c>
      <c r="H119" s="153" t="str">
        <f>"," &amp;ROUND(G119/10,0)</f>
        <v>,48</v>
      </c>
      <c r="K119" s="63">
        <v>113</v>
      </c>
      <c r="M119" s="73">
        <f t="shared" si="22"/>
        <v>1.1399999999999999</v>
      </c>
      <c r="O119" s="72">
        <f t="shared" si="23"/>
        <v>9.1</v>
      </c>
      <c r="Q119" s="73">
        <f t="shared" si="24"/>
        <v>-32.700000000000003</v>
      </c>
      <c r="R119" s="39" t="str">
        <f t="shared" si="25"/>
        <v>3F</v>
      </c>
      <c r="T119" s="77">
        <f t="shared" si="26"/>
        <v>42.8</v>
      </c>
      <c r="U119" s="155">
        <f t="shared" si="27"/>
        <v>82.8</v>
      </c>
      <c r="V119" s="39" t="str">
        <f t="shared" si="28"/>
        <v>,0x52</v>
      </c>
      <c r="X119" s="77">
        <f t="shared" si="29"/>
        <v>42.8</v>
      </c>
      <c r="Y119" s="155">
        <f t="shared" si="30"/>
        <v>82.8</v>
      </c>
      <c r="Z119" s="39" t="str">
        <f t="shared" si="31"/>
        <v>,0x52</v>
      </c>
      <c r="AB119" s="73">
        <f t="shared" si="32"/>
        <v>-9</v>
      </c>
      <c r="AD119" s="157">
        <f t="shared" si="33"/>
        <v>0.23200000000000001</v>
      </c>
      <c r="AE119" s="157">
        <f t="shared" si="34"/>
        <v>59.393000000000001</v>
      </c>
      <c r="AG119" s="63" t="str">
        <f t="shared" si="35"/>
        <v>74</v>
      </c>
      <c r="AJ119" s="63" t="str">
        <f t="shared" si="36"/>
        <v>74</v>
      </c>
      <c r="AM119" s="63" t="str">
        <f t="shared" si="37"/>
        <v>74</v>
      </c>
      <c r="AP119" s="63" t="str">
        <f t="shared" si="38"/>
        <v>74</v>
      </c>
      <c r="AS119" s="63" t="str">
        <f t="shared" si="39"/>
        <v>74</v>
      </c>
    </row>
    <row r="120" spans="1:45">
      <c r="A120" s="35" t="str">
        <f t="shared" si="20"/>
        <v>,114</v>
      </c>
      <c r="B120" s="35">
        <v>117</v>
      </c>
      <c r="C120" s="35" t="str">
        <f t="shared" si="21"/>
        <v>75</v>
      </c>
      <c r="D120" s="73">
        <f>ROUND(B120*((100-9.48)/255) +9.48,1)</f>
        <v>51</v>
      </c>
      <c r="E120" s="39" t="str">
        <f>",0x" &amp;DEC2HEX(ROUND(D120,0))</f>
        <v>,0x33</v>
      </c>
      <c r="G120" s="76">
        <f>B120*(1063)/255</f>
        <v>487.7294117647059</v>
      </c>
      <c r="H120" s="153" t="str">
        <f>"," &amp;ROUND(G120/10,0)</f>
        <v>,49</v>
      </c>
      <c r="K120" s="63">
        <v>114</v>
      </c>
      <c r="M120" s="73">
        <f t="shared" si="22"/>
        <v>1.1499999999999999</v>
      </c>
      <c r="O120" s="72">
        <f t="shared" si="23"/>
        <v>9.18</v>
      </c>
      <c r="Q120" s="73">
        <f t="shared" si="24"/>
        <v>-32.5</v>
      </c>
      <c r="R120" s="39" t="str">
        <f t="shared" si="25"/>
        <v>3F</v>
      </c>
      <c r="T120" s="77">
        <f t="shared" si="26"/>
        <v>43.4</v>
      </c>
      <c r="U120" s="155">
        <f t="shared" si="27"/>
        <v>83.4</v>
      </c>
      <c r="V120" s="39" t="str">
        <f t="shared" si="28"/>
        <v>,0x53</v>
      </c>
      <c r="X120" s="77">
        <f t="shared" si="29"/>
        <v>43.4</v>
      </c>
      <c r="Y120" s="155">
        <f t="shared" si="30"/>
        <v>83.4</v>
      </c>
      <c r="Z120" s="39" t="str">
        <f t="shared" si="31"/>
        <v>,0x53</v>
      </c>
      <c r="AB120" s="73">
        <f t="shared" si="32"/>
        <v>-8</v>
      </c>
      <c r="AD120" s="157">
        <f t="shared" si="33"/>
        <v>0.23400000000000001</v>
      </c>
      <c r="AE120" s="157">
        <f t="shared" si="34"/>
        <v>59.905000000000001</v>
      </c>
      <c r="AG120" s="63" t="str">
        <f t="shared" si="35"/>
        <v>75</v>
      </c>
      <c r="AJ120" s="63" t="str">
        <f t="shared" si="36"/>
        <v>75</v>
      </c>
      <c r="AM120" s="63" t="str">
        <f t="shared" si="37"/>
        <v>75</v>
      </c>
      <c r="AP120" s="63" t="str">
        <f t="shared" si="38"/>
        <v>75</v>
      </c>
      <c r="AS120" s="63" t="str">
        <f t="shared" si="39"/>
        <v>75</v>
      </c>
    </row>
    <row r="121" spans="1:45">
      <c r="A121" s="35" t="str">
        <f t="shared" si="20"/>
        <v>,115</v>
      </c>
      <c r="B121" s="35">
        <v>118</v>
      </c>
      <c r="C121" s="35" t="str">
        <f t="shared" si="21"/>
        <v>76</v>
      </c>
      <c r="D121" s="73">
        <f>ROUND(B121*((100-9.48)/255) +9.48,1)</f>
        <v>51.4</v>
      </c>
      <c r="E121" s="39" t="str">
        <f>",0x" &amp;DEC2HEX(ROUND(D121,0))</f>
        <v>,0x33</v>
      </c>
      <c r="G121" s="76">
        <f>B121*(1063)/255</f>
        <v>491.89803921568625</v>
      </c>
      <c r="H121" s="153" t="str">
        <f>"," &amp;ROUND(G121/10,0)</f>
        <v>,49</v>
      </c>
      <c r="K121" s="63">
        <v>115</v>
      </c>
      <c r="M121" s="73">
        <f t="shared" si="22"/>
        <v>1.1599999999999999</v>
      </c>
      <c r="O121" s="72">
        <f t="shared" si="23"/>
        <v>9.25</v>
      </c>
      <c r="Q121" s="73">
        <f t="shared" si="24"/>
        <v>-32.200000000000003</v>
      </c>
      <c r="R121" s="39" t="str">
        <f t="shared" si="25"/>
        <v>40</v>
      </c>
      <c r="T121" s="77">
        <f t="shared" si="26"/>
        <v>44</v>
      </c>
      <c r="U121" s="155">
        <f t="shared" si="27"/>
        <v>84</v>
      </c>
      <c r="V121" s="39" t="str">
        <f t="shared" si="28"/>
        <v>,0x54</v>
      </c>
      <c r="X121" s="77">
        <f t="shared" si="29"/>
        <v>44</v>
      </c>
      <c r="Y121" s="155">
        <f t="shared" si="30"/>
        <v>84</v>
      </c>
      <c r="Z121" s="39" t="str">
        <f t="shared" si="31"/>
        <v>,0x54</v>
      </c>
      <c r="AB121" s="73">
        <f t="shared" si="32"/>
        <v>-7</v>
      </c>
      <c r="AD121" s="157">
        <f t="shared" si="33"/>
        <v>0.23599999999999999</v>
      </c>
      <c r="AE121" s="157">
        <f t="shared" si="34"/>
        <v>60.417000000000002</v>
      </c>
      <c r="AG121" s="63" t="str">
        <f t="shared" si="35"/>
        <v>76</v>
      </c>
      <c r="AJ121" s="63" t="str">
        <f t="shared" si="36"/>
        <v>76</v>
      </c>
      <c r="AM121" s="63" t="str">
        <f t="shared" si="37"/>
        <v>76</v>
      </c>
      <c r="AP121" s="63" t="str">
        <f t="shared" si="38"/>
        <v>76</v>
      </c>
      <c r="AS121" s="63" t="str">
        <f t="shared" si="39"/>
        <v>76</v>
      </c>
    </row>
    <row r="122" spans="1:45">
      <c r="A122" s="35" t="str">
        <f t="shared" si="20"/>
        <v>,116</v>
      </c>
      <c r="B122" s="35">
        <v>119</v>
      </c>
      <c r="C122" s="35" t="str">
        <f t="shared" si="21"/>
        <v>77</v>
      </c>
      <c r="D122" s="73">
        <f>ROUND(B122*((100-9.48)/255) +9.48,1)</f>
        <v>51.7</v>
      </c>
      <c r="E122" s="39" t="str">
        <f>",0x" &amp;DEC2HEX(ROUND(D122,0))</f>
        <v>,0x34</v>
      </c>
      <c r="G122" s="76">
        <f>B122*(1063)/255</f>
        <v>496.06666666666666</v>
      </c>
      <c r="H122" s="153" t="str">
        <f>"," &amp;ROUND(G122/10,0)</f>
        <v>,50</v>
      </c>
      <c r="K122" s="63">
        <v>116</v>
      </c>
      <c r="M122" s="73">
        <f t="shared" si="22"/>
        <v>1.17</v>
      </c>
      <c r="O122" s="72">
        <f t="shared" si="23"/>
        <v>9.33</v>
      </c>
      <c r="Q122" s="73">
        <f t="shared" si="24"/>
        <v>-32</v>
      </c>
      <c r="R122" s="39" t="str">
        <f t="shared" si="25"/>
        <v>40</v>
      </c>
      <c r="T122" s="77">
        <f t="shared" si="26"/>
        <v>44.7</v>
      </c>
      <c r="U122" s="155">
        <f t="shared" si="27"/>
        <v>84.7</v>
      </c>
      <c r="V122" s="39" t="str">
        <f t="shared" si="28"/>
        <v>,0x54</v>
      </c>
      <c r="X122" s="77">
        <f t="shared" si="29"/>
        <v>44.7</v>
      </c>
      <c r="Y122" s="155">
        <f t="shared" si="30"/>
        <v>84.7</v>
      </c>
      <c r="Z122" s="39" t="str">
        <f t="shared" si="31"/>
        <v>,0x54</v>
      </c>
      <c r="AB122" s="73">
        <f t="shared" si="32"/>
        <v>-7</v>
      </c>
      <c r="AD122" s="157">
        <f t="shared" si="33"/>
        <v>0.23799999999999999</v>
      </c>
      <c r="AE122" s="157">
        <f t="shared" si="34"/>
        <v>60.929000000000002</v>
      </c>
      <c r="AG122" s="63" t="str">
        <f t="shared" si="35"/>
        <v>77</v>
      </c>
      <c r="AJ122" s="63" t="str">
        <f t="shared" si="36"/>
        <v>77</v>
      </c>
      <c r="AM122" s="63" t="str">
        <f t="shared" si="37"/>
        <v>77</v>
      </c>
      <c r="AP122" s="63" t="str">
        <f t="shared" si="38"/>
        <v>77</v>
      </c>
      <c r="AS122" s="63" t="str">
        <f t="shared" si="39"/>
        <v>77</v>
      </c>
    </row>
    <row r="123" spans="1:45">
      <c r="A123" s="35" t="str">
        <f t="shared" si="20"/>
        <v>,117</v>
      </c>
      <c r="B123" s="35">
        <v>120</v>
      </c>
      <c r="C123" s="35" t="str">
        <f t="shared" si="21"/>
        <v>78</v>
      </c>
      <c r="D123" s="73">
        <f>ROUND(B123*((100-9.48)/255) +9.48,1)</f>
        <v>52.1</v>
      </c>
      <c r="E123" s="39" t="str">
        <f>",0x" &amp;DEC2HEX(ROUND(D123,0))</f>
        <v>,0x34</v>
      </c>
      <c r="G123" s="76">
        <f>B123*(1063)/255</f>
        <v>500.23529411764707</v>
      </c>
      <c r="H123" s="153" t="str">
        <f>"," &amp;ROUND(G123/10,0)</f>
        <v>,50</v>
      </c>
      <c r="K123" s="63">
        <v>117</v>
      </c>
      <c r="M123" s="73">
        <f t="shared" si="22"/>
        <v>1.18</v>
      </c>
      <c r="O123" s="72">
        <f t="shared" si="23"/>
        <v>9.41</v>
      </c>
      <c r="Q123" s="73">
        <f t="shared" si="24"/>
        <v>-31.8</v>
      </c>
      <c r="R123" s="39" t="str">
        <f t="shared" si="25"/>
        <v>40</v>
      </c>
      <c r="T123" s="77">
        <f t="shared" si="26"/>
        <v>45.3</v>
      </c>
      <c r="U123" s="155">
        <f t="shared" si="27"/>
        <v>85.3</v>
      </c>
      <c r="V123" s="39" t="str">
        <f t="shared" si="28"/>
        <v>,0x55</v>
      </c>
      <c r="X123" s="77">
        <f t="shared" si="29"/>
        <v>45.3</v>
      </c>
      <c r="Y123" s="155">
        <f t="shared" si="30"/>
        <v>85.3</v>
      </c>
      <c r="Z123" s="39" t="str">
        <f t="shared" si="31"/>
        <v>,0x55</v>
      </c>
      <c r="AB123" s="73">
        <f t="shared" si="32"/>
        <v>-6</v>
      </c>
      <c r="AD123" s="157">
        <f t="shared" si="33"/>
        <v>0.24</v>
      </c>
      <c r="AE123" s="157">
        <f t="shared" si="34"/>
        <v>61.441000000000003</v>
      </c>
      <c r="AG123" s="63" t="str">
        <f t="shared" si="35"/>
        <v>78</v>
      </c>
      <c r="AJ123" s="63" t="str">
        <f t="shared" si="36"/>
        <v>78</v>
      </c>
      <c r="AM123" s="63" t="str">
        <f t="shared" si="37"/>
        <v>78</v>
      </c>
      <c r="AP123" s="63" t="str">
        <f t="shared" si="38"/>
        <v>78</v>
      </c>
      <c r="AS123" s="63" t="str">
        <f t="shared" si="39"/>
        <v>78</v>
      </c>
    </row>
    <row r="124" spans="1:45">
      <c r="A124" s="35" t="str">
        <f t="shared" si="20"/>
        <v>,118</v>
      </c>
      <c r="B124" s="35">
        <v>121</v>
      </c>
      <c r="C124" s="35" t="str">
        <f t="shared" si="21"/>
        <v>79</v>
      </c>
      <c r="D124" s="73">
        <f>ROUND(B124*((100-9.48)/255) +9.48,1)</f>
        <v>52.4</v>
      </c>
      <c r="E124" s="39" t="str">
        <f>",0x" &amp;DEC2HEX(ROUND(D124,0))</f>
        <v>,0x34</v>
      </c>
      <c r="G124" s="76">
        <f>B124*(1063)/255</f>
        <v>504.40392156862742</v>
      </c>
      <c r="H124" s="153" t="str">
        <f>"," &amp;ROUND(G124/10,0)</f>
        <v>,50</v>
      </c>
      <c r="K124" s="63">
        <v>118</v>
      </c>
      <c r="M124" s="73">
        <f t="shared" si="22"/>
        <v>1.19</v>
      </c>
      <c r="O124" s="72">
        <f t="shared" si="23"/>
        <v>9.49</v>
      </c>
      <c r="Q124" s="73">
        <f t="shared" si="24"/>
        <v>-31.5</v>
      </c>
      <c r="R124" s="39" t="str">
        <f t="shared" si="25"/>
        <v>41</v>
      </c>
      <c r="T124" s="77">
        <f t="shared" si="26"/>
        <v>45.9</v>
      </c>
      <c r="U124" s="155">
        <f t="shared" si="27"/>
        <v>85.9</v>
      </c>
      <c r="V124" s="39" t="str">
        <f t="shared" si="28"/>
        <v>,0x55</v>
      </c>
      <c r="X124" s="77">
        <f t="shared" si="29"/>
        <v>45.9</v>
      </c>
      <c r="Y124" s="155">
        <f t="shared" si="30"/>
        <v>85.9</v>
      </c>
      <c r="Z124" s="39" t="str">
        <f t="shared" si="31"/>
        <v>,0x55</v>
      </c>
      <c r="AB124" s="73">
        <f t="shared" si="32"/>
        <v>-5</v>
      </c>
      <c r="AD124" s="157">
        <f t="shared" si="33"/>
        <v>0.24199999999999999</v>
      </c>
      <c r="AE124" s="157">
        <f t="shared" si="34"/>
        <v>61.953000000000003</v>
      </c>
      <c r="AG124" s="63" t="str">
        <f t="shared" si="35"/>
        <v>79</v>
      </c>
      <c r="AJ124" s="63" t="str">
        <f t="shared" si="36"/>
        <v>79</v>
      </c>
      <c r="AM124" s="63" t="str">
        <f t="shared" si="37"/>
        <v>79</v>
      </c>
      <c r="AP124" s="63" t="str">
        <f t="shared" si="38"/>
        <v>79</v>
      </c>
      <c r="AS124" s="63" t="str">
        <f t="shared" si="39"/>
        <v>79</v>
      </c>
    </row>
    <row r="125" spans="1:45">
      <c r="A125" s="35" t="str">
        <f t="shared" si="20"/>
        <v>,119</v>
      </c>
      <c r="B125" s="35">
        <v>122</v>
      </c>
      <c r="C125" s="35" t="str">
        <f t="shared" si="21"/>
        <v>7A</v>
      </c>
      <c r="D125" s="73">
        <f>ROUND(B125*((100-9.48)/255) +9.48,1)</f>
        <v>52.8</v>
      </c>
      <c r="E125" s="39" t="str">
        <f>",0x" &amp;DEC2HEX(ROUND(D125,0))</f>
        <v>,0x35</v>
      </c>
      <c r="G125" s="76">
        <f>B125*(1063)/255</f>
        <v>508.57254901960783</v>
      </c>
      <c r="H125" s="153" t="str">
        <f>"," &amp;ROUND(G125/10,0)</f>
        <v>,51</v>
      </c>
      <c r="K125" s="63">
        <v>119</v>
      </c>
      <c r="M125" s="73">
        <f t="shared" si="22"/>
        <v>1.2</v>
      </c>
      <c r="O125" s="72">
        <f t="shared" si="23"/>
        <v>9.57</v>
      </c>
      <c r="Q125" s="73">
        <f t="shared" si="24"/>
        <v>-31.3</v>
      </c>
      <c r="R125" s="39" t="str">
        <f t="shared" si="25"/>
        <v>41</v>
      </c>
      <c r="T125" s="77">
        <f t="shared" si="26"/>
        <v>46.5</v>
      </c>
      <c r="U125" s="155">
        <f t="shared" si="27"/>
        <v>86.5</v>
      </c>
      <c r="V125" s="39" t="str">
        <f t="shared" si="28"/>
        <v>,0x56</v>
      </c>
      <c r="X125" s="77">
        <f t="shared" si="29"/>
        <v>46.5</v>
      </c>
      <c r="Y125" s="155">
        <f t="shared" si="30"/>
        <v>86.5</v>
      </c>
      <c r="Z125" s="39" t="str">
        <f t="shared" si="31"/>
        <v>,0x56</v>
      </c>
      <c r="AB125" s="73">
        <f t="shared" si="32"/>
        <v>-4</v>
      </c>
      <c r="AD125" s="157">
        <f t="shared" si="33"/>
        <v>0.24399999999999999</v>
      </c>
      <c r="AE125" s="157">
        <f t="shared" si="34"/>
        <v>62.465000000000003</v>
      </c>
      <c r="AG125" s="63" t="str">
        <f t="shared" si="35"/>
        <v>7A</v>
      </c>
      <c r="AJ125" s="63" t="str">
        <f t="shared" si="36"/>
        <v>7A</v>
      </c>
      <c r="AM125" s="63" t="str">
        <f t="shared" si="37"/>
        <v>7A</v>
      </c>
      <c r="AP125" s="63" t="str">
        <f t="shared" si="38"/>
        <v>7A</v>
      </c>
      <c r="AS125" s="63" t="str">
        <f t="shared" si="39"/>
        <v>7A</v>
      </c>
    </row>
    <row r="126" spans="1:45">
      <c r="A126" s="35" t="str">
        <f t="shared" si="20"/>
        <v>,120</v>
      </c>
      <c r="B126" s="35">
        <v>123</v>
      </c>
      <c r="C126" s="35" t="str">
        <f t="shared" si="21"/>
        <v>7B</v>
      </c>
      <c r="D126" s="73">
        <f>ROUND(B126*((100-9.48)/255) +9.48,1)</f>
        <v>53.1</v>
      </c>
      <c r="E126" s="39" t="str">
        <f>",0x" &amp;DEC2HEX(ROUND(D126,0))</f>
        <v>,0x35</v>
      </c>
      <c r="G126" s="76">
        <f>B126*(1063)/255</f>
        <v>512.74117647058824</v>
      </c>
      <c r="H126" s="153" t="str">
        <f>"," &amp;ROUND(G126/10,0)</f>
        <v>,51</v>
      </c>
      <c r="K126" s="63">
        <v>120</v>
      </c>
      <c r="M126" s="73">
        <f t="shared" si="22"/>
        <v>1.21</v>
      </c>
      <c r="O126" s="72">
        <f t="shared" si="23"/>
        <v>9.65</v>
      </c>
      <c r="Q126" s="73">
        <f t="shared" si="24"/>
        <v>-31.1</v>
      </c>
      <c r="R126" s="39" t="str">
        <f t="shared" si="25"/>
        <v>42</v>
      </c>
      <c r="T126" s="77">
        <f t="shared" si="26"/>
        <v>47.2</v>
      </c>
      <c r="U126" s="155">
        <f t="shared" si="27"/>
        <v>87.2</v>
      </c>
      <c r="V126" s="39" t="str">
        <f t="shared" si="28"/>
        <v>,0x57</v>
      </c>
      <c r="X126" s="77">
        <f t="shared" si="29"/>
        <v>47.2</v>
      </c>
      <c r="Y126" s="155">
        <f t="shared" si="30"/>
        <v>87.2</v>
      </c>
      <c r="Z126" s="39" t="str">
        <f t="shared" si="31"/>
        <v>,0x57</v>
      </c>
      <c r="AB126" s="73">
        <f t="shared" si="32"/>
        <v>-4</v>
      </c>
      <c r="AD126" s="157">
        <f t="shared" si="33"/>
        <v>0.246</v>
      </c>
      <c r="AE126" s="157">
        <f t="shared" si="34"/>
        <v>62.976999999999997</v>
      </c>
      <c r="AG126" s="63" t="str">
        <f t="shared" si="35"/>
        <v>7B</v>
      </c>
      <c r="AJ126" s="63" t="str">
        <f t="shared" si="36"/>
        <v>7B</v>
      </c>
      <c r="AM126" s="63" t="str">
        <f t="shared" si="37"/>
        <v>7B</v>
      </c>
      <c r="AP126" s="63" t="str">
        <f t="shared" si="38"/>
        <v>7B</v>
      </c>
      <c r="AS126" s="63" t="str">
        <f t="shared" si="39"/>
        <v>7B</v>
      </c>
    </row>
    <row r="127" spans="1:45">
      <c r="A127" s="35" t="str">
        <f t="shared" si="20"/>
        <v>,121</v>
      </c>
      <c r="B127" s="35">
        <v>124</v>
      </c>
      <c r="C127" s="35" t="str">
        <f t="shared" si="21"/>
        <v>7C</v>
      </c>
      <c r="D127" s="73">
        <f>ROUND(B127*((100-9.48)/255) +9.48,1)</f>
        <v>53.5</v>
      </c>
      <c r="E127" s="39" t="str">
        <f>",0x" &amp;DEC2HEX(ROUND(D127,0))</f>
        <v>,0x36</v>
      </c>
      <c r="G127" s="76">
        <f>B127*(1063)/255</f>
        <v>516.9098039215686</v>
      </c>
      <c r="H127" s="153" t="str">
        <f>"," &amp;ROUND(G127/10,0)</f>
        <v>,52</v>
      </c>
      <c r="K127" s="63">
        <v>121</v>
      </c>
      <c r="M127" s="73">
        <f t="shared" si="22"/>
        <v>1.22</v>
      </c>
      <c r="O127" s="72">
        <f t="shared" si="23"/>
        <v>9.73</v>
      </c>
      <c r="Q127" s="73">
        <f t="shared" si="24"/>
        <v>-30.8</v>
      </c>
      <c r="R127" s="39" t="str">
        <f t="shared" si="25"/>
        <v>42</v>
      </c>
      <c r="T127" s="77">
        <f t="shared" si="26"/>
        <v>47.8</v>
      </c>
      <c r="U127" s="155">
        <f t="shared" si="27"/>
        <v>87.8</v>
      </c>
      <c r="V127" s="39" t="str">
        <f t="shared" si="28"/>
        <v>,0x57</v>
      </c>
      <c r="X127" s="77">
        <f t="shared" si="29"/>
        <v>47.8</v>
      </c>
      <c r="Y127" s="155">
        <f t="shared" si="30"/>
        <v>87.8</v>
      </c>
      <c r="Z127" s="39" t="str">
        <f t="shared" si="31"/>
        <v>,0x57</v>
      </c>
      <c r="AB127" s="73">
        <f t="shared" si="32"/>
        <v>-3</v>
      </c>
      <c r="AD127" s="157">
        <f t="shared" si="33"/>
        <v>0.248</v>
      </c>
      <c r="AE127" s="157">
        <f t="shared" si="34"/>
        <v>63.488999999999997</v>
      </c>
      <c r="AG127" s="63" t="str">
        <f t="shared" si="35"/>
        <v>7C</v>
      </c>
      <c r="AJ127" s="63" t="str">
        <f t="shared" si="36"/>
        <v>7C</v>
      </c>
      <c r="AM127" s="63" t="str">
        <f t="shared" si="37"/>
        <v>7C</v>
      </c>
      <c r="AP127" s="63" t="str">
        <f t="shared" si="38"/>
        <v>7C</v>
      </c>
      <c r="AS127" s="63" t="str">
        <f t="shared" si="39"/>
        <v>7C</v>
      </c>
    </row>
    <row r="128" spans="1:45">
      <c r="A128" s="35" t="str">
        <f t="shared" si="20"/>
        <v>,122</v>
      </c>
      <c r="B128" s="35">
        <v>125</v>
      </c>
      <c r="C128" s="35" t="str">
        <f t="shared" si="21"/>
        <v>7D</v>
      </c>
      <c r="D128" s="73">
        <f>ROUND(B128*((100-9.48)/255) +9.48,1)</f>
        <v>53.9</v>
      </c>
      <c r="E128" s="39" t="str">
        <f>",0x" &amp;DEC2HEX(ROUND(D128,0))</f>
        <v>,0x36</v>
      </c>
      <c r="G128" s="76">
        <f>B128*(1063)/255</f>
        <v>521.07843137254906</v>
      </c>
      <c r="H128" s="153" t="str">
        <f>"," &amp;ROUND(G128/10,0)</f>
        <v>,52</v>
      </c>
      <c r="K128" s="63">
        <v>122</v>
      </c>
      <c r="M128" s="73">
        <f t="shared" si="22"/>
        <v>1.23</v>
      </c>
      <c r="O128" s="72">
        <f t="shared" si="23"/>
        <v>9.8000000000000007</v>
      </c>
      <c r="Q128" s="73">
        <f t="shared" si="24"/>
        <v>-30.6</v>
      </c>
      <c r="R128" s="39" t="str">
        <f t="shared" si="25"/>
        <v>43</v>
      </c>
      <c r="T128" s="77">
        <f t="shared" si="26"/>
        <v>48.4</v>
      </c>
      <c r="U128" s="155">
        <f t="shared" si="27"/>
        <v>88.4</v>
      </c>
      <c r="V128" s="39" t="str">
        <f t="shared" si="28"/>
        <v>,0x58</v>
      </c>
      <c r="X128" s="77">
        <f t="shared" si="29"/>
        <v>48.4</v>
      </c>
      <c r="Y128" s="155">
        <f t="shared" si="30"/>
        <v>88.4</v>
      </c>
      <c r="Z128" s="39" t="str">
        <f t="shared" si="31"/>
        <v>,0x58</v>
      </c>
      <c r="AB128" s="73">
        <f t="shared" si="32"/>
        <v>-2</v>
      </c>
      <c r="AD128" s="157">
        <f t="shared" si="33"/>
        <v>0.25</v>
      </c>
      <c r="AE128" s="157">
        <f t="shared" si="34"/>
        <v>64.001000000000005</v>
      </c>
      <c r="AG128" s="63" t="str">
        <f t="shared" si="35"/>
        <v>7D</v>
      </c>
      <c r="AJ128" s="63" t="str">
        <f t="shared" si="36"/>
        <v>7D</v>
      </c>
      <c r="AM128" s="63" t="str">
        <f t="shared" si="37"/>
        <v>7D</v>
      </c>
      <c r="AP128" s="63" t="str">
        <f t="shared" si="38"/>
        <v>7D</v>
      </c>
      <c r="AS128" s="63" t="str">
        <f t="shared" si="39"/>
        <v>7D</v>
      </c>
    </row>
    <row r="129" spans="1:45">
      <c r="A129" s="35" t="str">
        <f t="shared" si="20"/>
        <v>,123</v>
      </c>
      <c r="B129" s="35">
        <v>126</v>
      </c>
      <c r="C129" s="35" t="str">
        <f t="shared" si="21"/>
        <v>7E</v>
      </c>
      <c r="D129" s="73">
        <f>ROUND(B129*((100-9.48)/255) +9.48,1)</f>
        <v>54.2</v>
      </c>
      <c r="E129" s="39" t="str">
        <f>",0x" &amp;DEC2HEX(ROUND(D129,0))</f>
        <v>,0x36</v>
      </c>
      <c r="G129" s="76">
        <f>B129*(1063)/255</f>
        <v>525.24705882352941</v>
      </c>
      <c r="H129" s="153" t="str">
        <f>"," &amp;ROUND(G129/10,0)</f>
        <v>,53</v>
      </c>
      <c r="K129" s="63">
        <v>123</v>
      </c>
      <c r="M129" s="73">
        <f t="shared" si="22"/>
        <v>1.24</v>
      </c>
      <c r="O129" s="72">
        <f t="shared" si="23"/>
        <v>9.8800000000000008</v>
      </c>
      <c r="Q129" s="73">
        <f t="shared" si="24"/>
        <v>-30.4</v>
      </c>
      <c r="R129" s="39" t="str">
        <f t="shared" si="25"/>
        <v>43</v>
      </c>
      <c r="T129" s="77">
        <f t="shared" si="26"/>
        <v>49.1</v>
      </c>
      <c r="U129" s="155">
        <f t="shared" si="27"/>
        <v>89.1</v>
      </c>
      <c r="V129" s="39" t="str">
        <f t="shared" si="28"/>
        <v>,0x59</v>
      </c>
      <c r="X129" s="77">
        <f t="shared" si="29"/>
        <v>49.1</v>
      </c>
      <c r="Y129" s="155">
        <f t="shared" si="30"/>
        <v>89.1</v>
      </c>
      <c r="Z129" s="39" t="str">
        <f t="shared" si="31"/>
        <v>,0x59</v>
      </c>
      <c r="AB129" s="73">
        <f t="shared" si="32"/>
        <v>-1</v>
      </c>
      <c r="AD129" s="157">
        <f t="shared" si="33"/>
        <v>0.252</v>
      </c>
      <c r="AE129" s="157">
        <f t="shared" si="34"/>
        <v>64.513000000000005</v>
      </c>
      <c r="AG129" s="63" t="str">
        <f t="shared" si="35"/>
        <v>7E</v>
      </c>
      <c r="AJ129" s="63" t="str">
        <f t="shared" si="36"/>
        <v>7E</v>
      </c>
      <c r="AM129" s="63" t="str">
        <f t="shared" si="37"/>
        <v>7E</v>
      </c>
      <c r="AP129" s="63" t="str">
        <f t="shared" si="38"/>
        <v>7E</v>
      </c>
      <c r="AS129" s="63" t="str">
        <f t="shared" si="39"/>
        <v>7E</v>
      </c>
    </row>
    <row r="130" spans="1:45">
      <c r="A130" s="35" t="str">
        <f t="shared" si="20"/>
        <v>,124</v>
      </c>
      <c r="B130" s="35">
        <v>127</v>
      </c>
      <c r="C130" s="35" t="str">
        <f t="shared" si="21"/>
        <v>7F</v>
      </c>
      <c r="D130" s="73">
        <f>ROUND(B130*((100-9.48)/255) +9.48,1)</f>
        <v>54.6</v>
      </c>
      <c r="E130" s="39" t="str">
        <f>",0x" &amp;DEC2HEX(ROUND(D130,0))</f>
        <v>,0x37</v>
      </c>
      <c r="G130" s="76">
        <f>B130*(1063)/255</f>
        <v>529.41568627450977</v>
      </c>
      <c r="H130" s="153" t="str">
        <f>"," &amp;ROUND(G130/10,0)</f>
        <v>,53</v>
      </c>
      <c r="K130" s="63">
        <v>124</v>
      </c>
      <c r="M130" s="73">
        <f t="shared" si="22"/>
        <v>1.25</v>
      </c>
      <c r="O130" s="72">
        <f t="shared" si="23"/>
        <v>9.9600000000000009</v>
      </c>
      <c r="Q130" s="73">
        <f t="shared" si="24"/>
        <v>-30.1</v>
      </c>
      <c r="R130" s="39" t="str">
        <f t="shared" si="25"/>
        <v>44</v>
      </c>
      <c r="T130" s="77">
        <f t="shared" si="26"/>
        <v>49.7</v>
      </c>
      <c r="U130" s="155">
        <f t="shared" si="27"/>
        <v>89.7</v>
      </c>
      <c r="V130" s="39" t="str">
        <f t="shared" si="28"/>
        <v>,0x59</v>
      </c>
      <c r="X130" s="77">
        <f t="shared" si="29"/>
        <v>49.7</v>
      </c>
      <c r="Y130" s="155">
        <f t="shared" si="30"/>
        <v>89.7</v>
      </c>
      <c r="Z130" s="39" t="str">
        <f t="shared" si="31"/>
        <v>,0x59</v>
      </c>
      <c r="AB130" s="73">
        <f t="shared" si="32"/>
        <v>0</v>
      </c>
      <c r="AD130" s="157">
        <f t="shared" si="33"/>
        <v>0.254</v>
      </c>
      <c r="AE130" s="157">
        <f t="shared" si="34"/>
        <v>65.025000000000006</v>
      </c>
      <c r="AG130" s="63" t="str">
        <f t="shared" si="35"/>
        <v>7F</v>
      </c>
      <c r="AJ130" s="63" t="str">
        <f t="shared" si="36"/>
        <v>7F</v>
      </c>
      <c r="AM130" s="63" t="str">
        <f t="shared" si="37"/>
        <v>7F</v>
      </c>
      <c r="AP130" s="63" t="str">
        <f t="shared" si="38"/>
        <v>7F</v>
      </c>
      <c r="AS130" s="63" t="str">
        <f t="shared" si="39"/>
        <v>7F</v>
      </c>
    </row>
    <row r="131" spans="1:45">
      <c r="A131" s="35" t="str">
        <f t="shared" si="20"/>
        <v>,125</v>
      </c>
      <c r="B131" s="35">
        <v>128</v>
      </c>
      <c r="C131" s="35" t="str">
        <f t="shared" si="21"/>
        <v>80</v>
      </c>
      <c r="D131" s="73">
        <f>ROUND(B131*((100-9.48)/255) +9.48,1)</f>
        <v>54.9</v>
      </c>
      <c r="E131" s="39" t="str">
        <f>",0x" &amp;DEC2HEX(ROUND(D131,0))</f>
        <v>,0x37</v>
      </c>
      <c r="G131" s="76">
        <f>B131*(1063)/255</f>
        <v>533.58431372549023</v>
      </c>
      <c r="H131" s="153" t="str">
        <f>"," &amp;ROUND(G131/10,0)</f>
        <v>,53</v>
      </c>
      <c r="K131" s="63">
        <v>125</v>
      </c>
      <c r="M131" s="73">
        <f t="shared" si="22"/>
        <v>1.25</v>
      </c>
      <c r="O131" s="72">
        <f t="shared" si="23"/>
        <v>10.039999999999999</v>
      </c>
      <c r="Q131" s="73">
        <f t="shared" si="24"/>
        <v>-29.9</v>
      </c>
      <c r="R131" s="39" t="str">
        <f t="shared" si="25"/>
        <v>44</v>
      </c>
      <c r="T131" s="77">
        <f t="shared" si="26"/>
        <v>50.3</v>
      </c>
      <c r="U131" s="155">
        <f t="shared" si="27"/>
        <v>90.3</v>
      </c>
      <c r="V131" s="39" t="str">
        <f t="shared" si="28"/>
        <v>,0x5A</v>
      </c>
      <c r="X131" s="77">
        <f t="shared" si="29"/>
        <v>50.3</v>
      </c>
      <c r="Y131" s="155">
        <f t="shared" si="30"/>
        <v>90.3</v>
      </c>
      <c r="Z131" s="39" t="str">
        <f t="shared" si="31"/>
        <v>,0x5A</v>
      </c>
      <c r="AB131" s="73">
        <f t="shared" si="32"/>
        <v>0</v>
      </c>
      <c r="AD131" s="157">
        <f t="shared" si="33"/>
        <v>0.25600000000000001</v>
      </c>
      <c r="AE131" s="157">
        <f t="shared" si="34"/>
        <v>65.537000000000006</v>
      </c>
      <c r="AG131" s="63" t="str">
        <f t="shared" si="35"/>
        <v>80</v>
      </c>
      <c r="AH131" s="63" t="s">
        <v>387</v>
      </c>
      <c r="AJ131" s="63" t="str">
        <f t="shared" si="36"/>
        <v>80</v>
      </c>
      <c r="AK131" s="63" t="s">
        <v>338</v>
      </c>
      <c r="AM131" s="63" t="str">
        <f t="shared" si="37"/>
        <v>80</v>
      </c>
      <c r="AP131" s="63" t="str">
        <f t="shared" si="38"/>
        <v>80</v>
      </c>
      <c r="AQ131" s="63" t="s">
        <v>338</v>
      </c>
      <c r="AS131" s="63" t="str">
        <f t="shared" si="39"/>
        <v>80</v>
      </c>
    </row>
    <row r="132" spans="1:45">
      <c r="A132" s="35" t="str">
        <f t="shared" ref="A132:A195" si="40">","&amp;K132</f>
        <v>,126</v>
      </c>
      <c r="B132" s="35">
        <v>129</v>
      </c>
      <c r="C132" s="35" t="str">
        <f t="shared" ref="C132:C195" si="41">DEC2HEX(B132)</f>
        <v>81</v>
      </c>
      <c r="D132" s="73">
        <f>ROUND(B132*((100-9.48)/255) +9.48,1)</f>
        <v>55.3</v>
      </c>
      <c r="E132" s="39" t="str">
        <f>",0x" &amp;DEC2HEX(ROUND(D132,0))</f>
        <v>,0x37</v>
      </c>
      <c r="G132" s="76">
        <f>B132*(1063)/255</f>
        <v>537.75294117647059</v>
      </c>
      <c r="H132" s="153" t="str">
        <f>"," &amp;ROUND(G132/10,0)</f>
        <v>,54</v>
      </c>
      <c r="K132" s="63">
        <v>126</v>
      </c>
      <c r="M132" s="73">
        <f t="shared" ref="M132:M195" si="42">ROUND($B132*(2.5/255),2)</f>
        <v>1.26</v>
      </c>
      <c r="O132" s="72">
        <f t="shared" ref="O132:O195" si="43">ROUND($B132*(20/255),2)</f>
        <v>10.119999999999999</v>
      </c>
      <c r="Q132" s="73">
        <f t="shared" ref="Q132:Q195" si="44">ROUND($B132*(60/255)-60,1)</f>
        <v>-29.6</v>
      </c>
      <c r="R132" s="39" t="str">
        <f t="shared" ref="R132:R195" si="45">DEC2HEX(ROUND((Q132+64)*2,0))</f>
        <v>45</v>
      </c>
      <c r="T132" s="77">
        <f t="shared" ref="T132:U195" si="46">ROUND($B132*(160/255)-30,1)</f>
        <v>50.9</v>
      </c>
      <c r="U132" s="155">
        <f t="shared" ref="U132:U195" si="47">T132+40</f>
        <v>90.9</v>
      </c>
      <c r="V132" s="39" t="str">
        <f t="shared" ref="V132:V195" si="48">",0x" &amp;DEC2HEX(U132)</f>
        <v>,0x5A</v>
      </c>
      <c r="X132" s="77">
        <f t="shared" ref="X132:X195" si="49">ROUND($B132*(160/255)-30,1)</f>
        <v>50.9</v>
      </c>
      <c r="Y132" s="155">
        <f t="shared" ref="Y132:Y195" si="50">X132+40</f>
        <v>90.9</v>
      </c>
      <c r="Z132" s="39" t="str">
        <f t="shared" ref="Z132:Z195" si="51">",0x" &amp;DEC2HEX(Y132)</f>
        <v>,0x5A</v>
      </c>
      <c r="AB132" s="73">
        <f t="shared" ref="AB132:AB195" si="52">ROUND($B132*200/255-100,0)</f>
        <v>1</v>
      </c>
      <c r="AD132" s="157">
        <f t="shared" ref="AD132:AD195" si="53">ROUND($B132*(131.072/65535),3)</f>
        <v>0.25800000000000001</v>
      </c>
      <c r="AE132" s="157">
        <f t="shared" ref="AE132:AE195" si="54">ROUND($B132*(131.072/65535)*256,3)</f>
        <v>66.049000000000007</v>
      </c>
      <c r="AG132" s="63" t="str">
        <f t="shared" ref="AG132:AG195" si="55">$C132</f>
        <v>81</v>
      </c>
      <c r="AJ132" s="63" t="str">
        <f t="shared" ref="AJ132:AJ195" si="56">$C132</f>
        <v>81</v>
      </c>
      <c r="AM132" s="63" t="str">
        <f t="shared" ref="AM132:AM195" si="57">$C132</f>
        <v>81</v>
      </c>
      <c r="AP132" s="63" t="str">
        <f t="shared" ref="AP132:AP195" si="58">$C132</f>
        <v>81</v>
      </c>
      <c r="AS132" s="63" t="str">
        <f t="shared" ref="AS132:AS195" si="59">$C132</f>
        <v>81</v>
      </c>
    </row>
    <row r="133" spans="1:45">
      <c r="A133" s="35" t="str">
        <f t="shared" si="40"/>
        <v>,127</v>
      </c>
      <c r="B133" s="35">
        <v>130</v>
      </c>
      <c r="C133" s="35" t="str">
        <f t="shared" si="41"/>
        <v>82</v>
      </c>
      <c r="D133" s="73">
        <f>ROUND(B133*((100-9.48)/255) +9.48,1)</f>
        <v>55.6</v>
      </c>
      <c r="E133" s="39" t="str">
        <f>",0x" &amp;DEC2HEX(ROUND(D133,0))</f>
        <v>,0x38</v>
      </c>
      <c r="G133" s="76">
        <f>B133*(1063)/255</f>
        <v>541.92156862745094</v>
      </c>
      <c r="H133" s="153" t="str">
        <f>"," &amp;ROUND(G133/10,0)</f>
        <v>,54</v>
      </c>
      <c r="K133" s="63">
        <v>127</v>
      </c>
      <c r="M133" s="73">
        <f t="shared" si="42"/>
        <v>1.27</v>
      </c>
      <c r="O133" s="72">
        <f t="shared" si="43"/>
        <v>10.199999999999999</v>
      </c>
      <c r="Q133" s="73">
        <f t="shared" si="44"/>
        <v>-29.4</v>
      </c>
      <c r="R133" s="39" t="str">
        <f t="shared" si="45"/>
        <v>45</v>
      </c>
      <c r="T133" s="77">
        <f t="shared" si="46"/>
        <v>51.6</v>
      </c>
      <c r="U133" s="155">
        <f t="shared" si="47"/>
        <v>91.6</v>
      </c>
      <c r="V133" s="39" t="str">
        <f t="shared" si="48"/>
        <v>,0x5B</v>
      </c>
      <c r="X133" s="77">
        <f t="shared" si="49"/>
        <v>51.6</v>
      </c>
      <c r="Y133" s="155">
        <f t="shared" si="50"/>
        <v>91.6</v>
      </c>
      <c r="Z133" s="39" t="str">
        <f t="shared" si="51"/>
        <v>,0x5B</v>
      </c>
      <c r="AB133" s="73">
        <f t="shared" si="52"/>
        <v>2</v>
      </c>
      <c r="AD133" s="157">
        <f t="shared" si="53"/>
        <v>0.26</v>
      </c>
      <c r="AE133" s="157">
        <f t="shared" si="54"/>
        <v>66.561000000000007</v>
      </c>
      <c r="AG133" s="63" t="str">
        <f t="shared" si="55"/>
        <v>82</v>
      </c>
      <c r="AJ133" s="63" t="str">
        <f t="shared" si="56"/>
        <v>82</v>
      </c>
      <c r="AM133" s="63" t="str">
        <f t="shared" si="57"/>
        <v>82</v>
      </c>
      <c r="AP133" s="63" t="str">
        <f t="shared" si="58"/>
        <v>82</v>
      </c>
      <c r="AS133" s="63" t="str">
        <f t="shared" si="59"/>
        <v>82</v>
      </c>
    </row>
    <row r="134" spans="1:45">
      <c r="A134" s="35" t="str">
        <f t="shared" si="40"/>
        <v>,128</v>
      </c>
      <c r="B134" s="35">
        <v>131</v>
      </c>
      <c r="C134" s="35" t="str">
        <f t="shared" si="41"/>
        <v>83</v>
      </c>
      <c r="D134" s="73">
        <f>ROUND(B134*((100-9.48)/255) +9.48,1)</f>
        <v>56</v>
      </c>
      <c r="E134" s="39" t="str">
        <f>",0x" &amp;DEC2HEX(ROUND(D134,0))</f>
        <v>,0x38</v>
      </c>
      <c r="G134" s="76">
        <f>B134*(1063)/255</f>
        <v>546.0901960784314</v>
      </c>
      <c r="H134" s="153" t="str">
        <f>"," &amp;ROUND(G134/10,0)</f>
        <v>,55</v>
      </c>
      <c r="K134" s="63">
        <v>128</v>
      </c>
      <c r="M134" s="73">
        <f t="shared" si="42"/>
        <v>1.28</v>
      </c>
      <c r="O134" s="72">
        <f t="shared" si="43"/>
        <v>10.27</v>
      </c>
      <c r="Q134" s="73">
        <f t="shared" si="44"/>
        <v>-29.2</v>
      </c>
      <c r="R134" s="39" t="str">
        <f t="shared" si="45"/>
        <v>46</v>
      </c>
      <c r="T134" s="77">
        <f t="shared" si="46"/>
        <v>52.2</v>
      </c>
      <c r="U134" s="155">
        <f t="shared" si="47"/>
        <v>92.2</v>
      </c>
      <c r="V134" s="39" t="str">
        <f t="shared" si="48"/>
        <v>,0x5C</v>
      </c>
      <c r="X134" s="77">
        <f t="shared" si="49"/>
        <v>52.2</v>
      </c>
      <c r="Y134" s="155">
        <f t="shared" si="50"/>
        <v>92.2</v>
      </c>
      <c r="Z134" s="39" t="str">
        <f t="shared" si="51"/>
        <v>,0x5C</v>
      </c>
      <c r="AB134" s="73">
        <f t="shared" si="52"/>
        <v>3</v>
      </c>
      <c r="AD134" s="157">
        <f t="shared" si="53"/>
        <v>0.26200000000000001</v>
      </c>
      <c r="AE134" s="157">
        <f t="shared" si="54"/>
        <v>67.072999999999993</v>
      </c>
      <c r="AG134" s="63" t="str">
        <f t="shared" si="55"/>
        <v>83</v>
      </c>
      <c r="AJ134" s="63" t="str">
        <f t="shared" si="56"/>
        <v>83</v>
      </c>
      <c r="AM134" s="63" t="str">
        <f t="shared" si="57"/>
        <v>83</v>
      </c>
      <c r="AP134" s="63" t="str">
        <f t="shared" si="58"/>
        <v>83</v>
      </c>
      <c r="AS134" s="63" t="str">
        <f t="shared" si="59"/>
        <v>83</v>
      </c>
    </row>
    <row r="135" spans="1:45">
      <c r="A135" s="35" t="str">
        <f t="shared" si="40"/>
        <v>,129</v>
      </c>
      <c r="B135" s="35">
        <v>132</v>
      </c>
      <c r="C135" s="35" t="str">
        <f t="shared" si="41"/>
        <v>84</v>
      </c>
      <c r="D135" s="73">
        <f>ROUND(B135*((100-9.48)/255) +9.48,1)</f>
        <v>56.3</v>
      </c>
      <c r="E135" s="39" t="str">
        <f>",0x" &amp;DEC2HEX(ROUND(D135,0))</f>
        <v>,0x38</v>
      </c>
      <c r="G135" s="76">
        <f>B135*(1063)/255</f>
        <v>550.25882352941176</v>
      </c>
      <c r="H135" s="153" t="str">
        <f>"," &amp;ROUND(G135/10,0)</f>
        <v>,55</v>
      </c>
      <c r="K135" s="63">
        <v>129</v>
      </c>
      <c r="M135" s="73">
        <f t="shared" si="42"/>
        <v>1.29</v>
      </c>
      <c r="O135" s="72">
        <f t="shared" si="43"/>
        <v>10.35</v>
      </c>
      <c r="Q135" s="73">
        <f t="shared" si="44"/>
        <v>-28.9</v>
      </c>
      <c r="R135" s="39" t="str">
        <f t="shared" si="45"/>
        <v>46</v>
      </c>
      <c r="T135" s="77">
        <f t="shared" si="46"/>
        <v>52.8</v>
      </c>
      <c r="U135" s="155">
        <f t="shared" si="47"/>
        <v>92.8</v>
      </c>
      <c r="V135" s="39" t="str">
        <f t="shared" si="48"/>
        <v>,0x5C</v>
      </c>
      <c r="X135" s="77">
        <f t="shared" si="49"/>
        <v>52.8</v>
      </c>
      <c r="Y135" s="155">
        <f t="shared" si="50"/>
        <v>92.8</v>
      </c>
      <c r="Z135" s="39" t="str">
        <f t="shared" si="51"/>
        <v>,0x5C</v>
      </c>
      <c r="AB135" s="73">
        <f t="shared" si="52"/>
        <v>4</v>
      </c>
      <c r="AD135" s="157">
        <f t="shared" si="53"/>
        <v>0.26400000000000001</v>
      </c>
      <c r="AE135" s="157">
        <f t="shared" si="54"/>
        <v>67.584999999999994</v>
      </c>
      <c r="AG135" s="63" t="str">
        <f t="shared" si="55"/>
        <v>84</v>
      </c>
      <c r="AJ135" s="63" t="str">
        <f t="shared" si="56"/>
        <v>84</v>
      </c>
      <c r="AM135" s="63" t="str">
        <f t="shared" si="57"/>
        <v>84</v>
      </c>
      <c r="AP135" s="63" t="str">
        <f t="shared" si="58"/>
        <v>84</v>
      </c>
      <c r="AS135" s="63" t="str">
        <f t="shared" si="59"/>
        <v>84</v>
      </c>
    </row>
    <row r="136" spans="1:45">
      <c r="A136" s="35" t="str">
        <f t="shared" si="40"/>
        <v>,130</v>
      </c>
      <c r="B136" s="35">
        <v>133</v>
      </c>
      <c r="C136" s="35" t="str">
        <f t="shared" si="41"/>
        <v>85</v>
      </c>
      <c r="D136" s="73">
        <f>ROUND(B136*((100-9.48)/255) +9.48,1)</f>
        <v>56.7</v>
      </c>
      <c r="E136" s="39" t="str">
        <f>",0x" &amp;DEC2HEX(ROUND(D136,0))</f>
        <v>,0x39</v>
      </c>
      <c r="G136" s="76">
        <f>B136*(1063)/255</f>
        <v>554.42745098039211</v>
      </c>
      <c r="H136" s="153" t="str">
        <f>"," &amp;ROUND(G136/10,0)</f>
        <v>,55</v>
      </c>
      <c r="K136" s="63">
        <v>130</v>
      </c>
      <c r="M136" s="73">
        <f t="shared" si="42"/>
        <v>1.3</v>
      </c>
      <c r="O136" s="72">
        <f t="shared" si="43"/>
        <v>10.43</v>
      </c>
      <c r="Q136" s="73">
        <f t="shared" si="44"/>
        <v>-28.7</v>
      </c>
      <c r="R136" s="39" t="str">
        <f t="shared" si="45"/>
        <v>47</v>
      </c>
      <c r="T136" s="77">
        <f t="shared" si="46"/>
        <v>53.5</v>
      </c>
      <c r="U136" s="155">
        <f t="shared" si="47"/>
        <v>93.5</v>
      </c>
      <c r="V136" s="39" t="str">
        <f t="shared" si="48"/>
        <v>,0x5D</v>
      </c>
      <c r="X136" s="77">
        <f t="shared" si="49"/>
        <v>53.5</v>
      </c>
      <c r="Y136" s="155">
        <f t="shared" si="50"/>
        <v>93.5</v>
      </c>
      <c r="Z136" s="39" t="str">
        <f t="shared" si="51"/>
        <v>,0x5D</v>
      </c>
      <c r="AB136" s="73">
        <f t="shared" si="52"/>
        <v>4</v>
      </c>
      <c r="AD136" s="157">
        <f t="shared" si="53"/>
        <v>0.26600000000000001</v>
      </c>
      <c r="AE136" s="157">
        <f t="shared" si="54"/>
        <v>68.096999999999994</v>
      </c>
      <c r="AG136" s="63" t="str">
        <f t="shared" si="55"/>
        <v>85</v>
      </c>
      <c r="AJ136" s="63" t="str">
        <f t="shared" si="56"/>
        <v>85</v>
      </c>
      <c r="AM136" s="63" t="str">
        <f t="shared" si="57"/>
        <v>85</v>
      </c>
      <c r="AP136" s="63" t="str">
        <f t="shared" si="58"/>
        <v>85</v>
      </c>
      <c r="AS136" s="63" t="str">
        <f t="shared" si="59"/>
        <v>85</v>
      </c>
    </row>
    <row r="137" spans="1:45">
      <c r="A137" s="35" t="str">
        <f t="shared" si="40"/>
        <v>,131</v>
      </c>
      <c r="B137" s="35">
        <v>134</v>
      </c>
      <c r="C137" s="35" t="str">
        <f t="shared" si="41"/>
        <v>86</v>
      </c>
      <c r="D137" s="73">
        <f>ROUND(B137*((100-9.48)/255) +9.48,1)</f>
        <v>57</v>
      </c>
      <c r="E137" s="39" t="str">
        <f>",0x" &amp;DEC2HEX(ROUND(D137,0))</f>
        <v>,0x39</v>
      </c>
      <c r="G137" s="76">
        <f>B137*(1063)/255</f>
        <v>558.59607843137258</v>
      </c>
      <c r="H137" s="153" t="str">
        <f>"," &amp;ROUND(G137/10,0)</f>
        <v>,56</v>
      </c>
      <c r="K137" s="63">
        <v>131</v>
      </c>
      <c r="M137" s="73">
        <f t="shared" si="42"/>
        <v>1.31</v>
      </c>
      <c r="O137" s="72">
        <f t="shared" si="43"/>
        <v>10.51</v>
      </c>
      <c r="Q137" s="73">
        <f t="shared" si="44"/>
        <v>-28.5</v>
      </c>
      <c r="R137" s="39" t="str">
        <f t="shared" si="45"/>
        <v>47</v>
      </c>
      <c r="T137" s="77">
        <f t="shared" si="46"/>
        <v>54.1</v>
      </c>
      <c r="U137" s="155">
        <f t="shared" si="47"/>
        <v>94.1</v>
      </c>
      <c r="V137" s="39" t="str">
        <f t="shared" si="48"/>
        <v>,0x5E</v>
      </c>
      <c r="X137" s="77">
        <f t="shared" si="49"/>
        <v>54.1</v>
      </c>
      <c r="Y137" s="155">
        <f t="shared" si="50"/>
        <v>94.1</v>
      </c>
      <c r="Z137" s="39" t="str">
        <f t="shared" si="51"/>
        <v>,0x5E</v>
      </c>
      <c r="AB137" s="73">
        <f t="shared" si="52"/>
        <v>5</v>
      </c>
      <c r="AD137" s="157">
        <f t="shared" si="53"/>
        <v>0.26800000000000002</v>
      </c>
      <c r="AE137" s="157">
        <f t="shared" si="54"/>
        <v>68.608999999999995</v>
      </c>
      <c r="AG137" s="63" t="str">
        <f t="shared" si="55"/>
        <v>86</v>
      </c>
      <c r="AJ137" s="63" t="str">
        <f t="shared" si="56"/>
        <v>86</v>
      </c>
      <c r="AM137" s="63" t="str">
        <f t="shared" si="57"/>
        <v>86</v>
      </c>
      <c r="AP137" s="63" t="str">
        <f t="shared" si="58"/>
        <v>86</v>
      </c>
      <c r="AS137" s="63" t="str">
        <f t="shared" si="59"/>
        <v>86</v>
      </c>
    </row>
    <row r="138" spans="1:45">
      <c r="A138" s="35" t="str">
        <f t="shared" si="40"/>
        <v>,132</v>
      </c>
      <c r="B138" s="35">
        <v>135</v>
      </c>
      <c r="C138" s="35" t="str">
        <f t="shared" si="41"/>
        <v>87</v>
      </c>
      <c r="D138" s="73">
        <f>ROUND(B138*((100-9.48)/255) +9.48,1)</f>
        <v>57.4</v>
      </c>
      <c r="E138" s="39" t="str">
        <f>",0x" &amp;DEC2HEX(ROUND(D138,0))</f>
        <v>,0x39</v>
      </c>
      <c r="G138" s="76">
        <f>B138*(1063)/255</f>
        <v>562.76470588235293</v>
      </c>
      <c r="H138" s="153" t="str">
        <f>"," &amp;ROUND(G138/10,0)</f>
        <v>,56</v>
      </c>
      <c r="K138" s="63">
        <v>132</v>
      </c>
      <c r="M138" s="73">
        <f t="shared" si="42"/>
        <v>1.32</v>
      </c>
      <c r="O138" s="72">
        <f t="shared" si="43"/>
        <v>10.59</v>
      </c>
      <c r="Q138" s="73">
        <f t="shared" si="44"/>
        <v>-28.2</v>
      </c>
      <c r="R138" s="39" t="str">
        <f t="shared" si="45"/>
        <v>48</v>
      </c>
      <c r="T138" s="77">
        <f t="shared" si="46"/>
        <v>54.7</v>
      </c>
      <c r="U138" s="155">
        <f t="shared" si="47"/>
        <v>94.7</v>
      </c>
      <c r="V138" s="39" t="str">
        <f t="shared" si="48"/>
        <v>,0x5E</v>
      </c>
      <c r="X138" s="77">
        <f t="shared" si="49"/>
        <v>54.7</v>
      </c>
      <c r="Y138" s="155">
        <f t="shared" si="50"/>
        <v>94.7</v>
      </c>
      <c r="Z138" s="39" t="str">
        <f t="shared" si="51"/>
        <v>,0x5E</v>
      </c>
      <c r="AB138" s="73">
        <f t="shared" si="52"/>
        <v>6</v>
      </c>
      <c r="AD138" s="157">
        <f t="shared" si="53"/>
        <v>0.27</v>
      </c>
      <c r="AE138" s="157">
        <f t="shared" si="54"/>
        <v>69.120999999999995</v>
      </c>
      <c r="AG138" s="63" t="str">
        <f t="shared" si="55"/>
        <v>87</v>
      </c>
      <c r="AJ138" s="63" t="str">
        <f t="shared" si="56"/>
        <v>87</v>
      </c>
      <c r="AM138" s="63" t="str">
        <f t="shared" si="57"/>
        <v>87</v>
      </c>
      <c r="AP138" s="63" t="str">
        <f t="shared" si="58"/>
        <v>87</v>
      </c>
      <c r="AS138" s="63" t="str">
        <f t="shared" si="59"/>
        <v>87</v>
      </c>
    </row>
    <row r="139" spans="1:45">
      <c r="A139" s="35" t="str">
        <f t="shared" si="40"/>
        <v>,133</v>
      </c>
      <c r="B139" s="35">
        <v>136</v>
      </c>
      <c r="C139" s="35" t="str">
        <f t="shared" si="41"/>
        <v>88</v>
      </c>
      <c r="D139" s="73">
        <f>ROUND(B139*((100-9.48)/255) +9.48,1)</f>
        <v>57.8</v>
      </c>
      <c r="E139" s="39" t="str">
        <f>",0x" &amp;DEC2HEX(ROUND(D139,0))</f>
        <v>,0x3A</v>
      </c>
      <c r="G139" s="76">
        <f>B139*(1063)/255</f>
        <v>566.93333333333328</v>
      </c>
      <c r="H139" s="153" t="str">
        <f>"," &amp;ROUND(G139/10,0)</f>
        <v>,57</v>
      </c>
      <c r="K139" s="63">
        <v>133</v>
      </c>
      <c r="M139" s="73">
        <f t="shared" si="42"/>
        <v>1.33</v>
      </c>
      <c r="O139" s="72">
        <f t="shared" si="43"/>
        <v>10.67</v>
      </c>
      <c r="Q139" s="73">
        <f t="shared" si="44"/>
        <v>-28</v>
      </c>
      <c r="R139" s="39" t="str">
        <f t="shared" si="45"/>
        <v>48</v>
      </c>
      <c r="T139" s="77">
        <f t="shared" si="46"/>
        <v>55.3</v>
      </c>
      <c r="U139" s="155">
        <f t="shared" si="47"/>
        <v>95.3</v>
      </c>
      <c r="V139" s="39" t="str">
        <f t="shared" si="48"/>
        <v>,0x5F</v>
      </c>
      <c r="X139" s="77">
        <f t="shared" si="49"/>
        <v>55.3</v>
      </c>
      <c r="Y139" s="155">
        <f t="shared" si="50"/>
        <v>95.3</v>
      </c>
      <c r="Z139" s="39" t="str">
        <f t="shared" si="51"/>
        <v>,0x5F</v>
      </c>
      <c r="AB139" s="73">
        <f t="shared" si="52"/>
        <v>7</v>
      </c>
      <c r="AD139" s="157">
        <f t="shared" si="53"/>
        <v>0.27200000000000002</v>
      </c>
      <c r="AE139" s="157">
        <f t="shared" si="54"/>
        <v>69.632999999999996</v>
      </c>
      <c r="AG139" s="63" t="str">
        <f t="shared" si="55"/>
        <v>88</v>
      </c>
      <c r="AJ139" s="63" t="str">
        <f t="shared" si="56"/>
        <v>88</v>
      </c>
      <c r="AM139" s="63" t="str">
        <f t="shared" si="57"/>
        <v>88</v>
      </c>
      <c r="AP139" s="63" t="str">
        <f t="shared" si="58"/>
        <v>88</v>
      </c>
      <c r="AS139" s="63" t="str">
        <f t="shared" si="59"/>
        <v>88</v>
      </c>
    </row>
    <row r="140" spans="1:45">
      <c r="A140" s="35" t="str">
        <f t="shared" si="40"/>
        <v>,134</v>
      </c>
      <c r="B140" s="35">
        <v>137</v>
      </c>
      <c r="C140" s="35" t="str">
        <f t="shared" si="41"/>
        <v>89</v>
      </c>
      <c r="D140" s="73">
        <f>ROUND(B140*((100-9.48)/255) +9.48,1)</f>
        <v>58.1</v>
      </c>
      <c r="E140" s="39" t="str">
        <f>",0x" &amp;DEC2HEX(ROUND(D140,0))</f>
        <v>,0x3A</v>
      </c>
      <c r="G140" s="76">
        <f>B140*(1063)/255</f>
        <v>571.10196078431375</v>
      </c>
      <c r="H140" s="153" t="str">
        <f>"," &amp;ROUND(G140/10,0)</f>
        <v>,57</v>
      </c>
      <c r="K140" s="63">
        <v>134</v>
      </c>
      <c r="M140" s="73">
        <f t="shared" si="42"/>
        <v>1.34</v>
      </c>
      <c r="O140" s="72">
        <f t="shared" si="43"/>
        <v>10.75</v>
      </c>
      <c r="Q140" s="73">
        <f t="shared" si="44"/>
        <v>-27.8</v>
      </c>
      <c r="R140" s="39" t="str">
        <f t="shared" si="45"/>
        <v>48</v>
      </c>
      <c r="T140" s="77">
        <f t="shared" si="46"/>
        <v>56</v>
      </c>
      <c r="U140" s="155">
        <f t="shared" si="47"/>
        <v>96</v>
      </c>
      <c r="V140" s="39" t="str">
        <f t="shared" si="48"/>
        <v>,0x60</v>
      </c>
      <c r="X140" s="77">
        <f t="shared" si="49"/>
        <v>56</v>
      </c>
      <c r="Y140" s="155">
        <f t="shared" si="50"/>
        <v>96</v>
      </c>
      <c r="Z140" s="39" t="str">
        <f t="shared" si="51"/>
        <v>,0x60</v>
      </c>
      <c r="AB140" s="73">
        <f t="shared" si="52"/>
        <v>7</v>
      </c>
      <c r="AD140" s="157">
        <f t="shared" si="53"/>
        <v>0.27400000000000002</v>
      </c>
      <c r="AE140" s="157">
        <f t="shared" si="54"/>
        <v>70.144999999999996</v>
      </c>
      <c r="AG140" s="63" t="str">
        <f t="shared" si="55"/>
        <v>89</v>
      </c>
      <c r="AJ140" s="63" t="str">
        <f t="shared" si="56"/>
        <v>89</v>
      </c>
      <c r="AM140" s="63" t="str">
        <f t="shared" si="57"/>
        <v>89</v>
      </c>
      <c r="AP140" s="63" t="str">
        <f t="shared" si="58"/>
        <v>89</v>
      </c>
      <c r="AS140" s="63" t="str">
        <f t="shared" si="59"/>
        <v>89</v>
      </c>
    </row>
    <row r="141" spans="1:45">
      <c r="A141" s="35" t="str">
        <f t="shared" si="40"/>
        <v>,135</v>
      </c>
      <c r="B141" s="35">
        <v>138</v>
      </c>
      <c r="C141" s="35" t="str">
        <f t="shared" si="41"/>
        <v>8A</v>
      </c>
      <c r="D141" s="73">
        <f>ROUND(B141*((100-9.48)/255) +9.48,1)</f>
        <v>58.5</v>
      </c>
      <c r="E141" s="39" t="str">
        <f>",0x" &amp;DEC2HEX(ROUND(D141,0))</f>
        <v>,0x3B</v>
      </c>
      <c r="G141" s="76">
        <f>B141*(1063)/255</f>
        <v>575.2705882352941</v>
      </c>
      <c r="H141" s="153" t="str">
        <f>"," &amp;ROUND(G141/10,0)</f>
        <v>,58</v>
      </c>
      <c r="K141" s="63">
        <v>135</v>
      </c>
      <c r="M141" s="73">
        <f t="shared" si="42"/>
        <v>1.35</v>
      </c>
      <c r="O141" s="72">
        <f t="shared" si="43"/>
        <v>10.82</v>
      </c>
      <c r="Q141" s="73">
        <f t="shared" si="44"/>
        <v>-27.5</v>
      </c>
      <c r="R141" s="39" t="str">
        <f t="shared" si="45"/>
        <v>49</v>
      </c>
      <c r="T141" s="77">
        <f t="shared" si="46"/>
        <v>56.6</v>
      </c>
      <c r="U141" s="155">
        <f t="shared" si="47"/>
        <v>96.6</v>
      </c>
      <c r="V141" s="39" t="str">
        <f t="shared" si="48"/>
        <v>,0x60</v>
      </c>
      <c r="X141" s="77">
        <f t="shared" si="49"/>
        <v>56.6</v>
      </c>
      <c r="Y141" s="155">
        <f t="shared" si="50"/>
        <v>96.6</v>
      </c>
      <c r="Z141" s="39" t="str">
        <f t="shared" si="51"/>
        <v>,0x60</v>
      </c>
      <c r="AB141" s="73">
        <f t="shared" si="52"/>
        <v>8</v>
      </c>
      <c r="AD141" s="157">
        <f t="shared" si="53"/>
        <v>0.27600000000000002</v>
      </c>
      <c r="AE141" s="157">
        <f t="shared" si="54"/>
        <v>70.656999999999996</v>
      </c>
      <c r="AG141" s="63" t="str">
        <f t="shared" si="55"/>
        <v>8A</v>
      </c>
      <c r="AJ141" s="63" t="str">
        <f t="shared" si="56"/>
        <v>8A</v>
      </c>
      <c r="AM141" s="63" t="str">
        <f t="shared" si="57"/>
        <v>8A</v>
      </c>
      <c r="AP141" s="63" t="str">
        <f t="shared" si="58"/>
        <v>8A</v>
      </c>
      <c r="AS141" s="63" t="str">
        <f t="shared" si="59"/>
        <v>8A</v>
      </c>
    </row>
    <row r="142" spans="1:45">
      <c r="A142" s="35" t="str">
        <f t="shared" si="40"/>
        <v>,136</v>
      </c>
      <c r="B142" s="35">
        <v>139</v>
      </c>
      <c r="C142" s="35" t="str">
        <f t="shared" si="41"/>
        <v>8B</v>
      </c>
      <c r="D142" s="73">
        <f>ROUND(B142*((100-9.48)/255) +9.48,1)</f>
        <v>58.8</v>
      </c>
      <c r="E142" s="39" t="str">
        <f>",0x" &amp;DEC2HEX(ROUND(D142,0))</f>
        <v>,0x3B</v>
      </c>
      <c r="G142" s="76">
        <f>B142*(1063)/255</f>
        <v>579.43921568627457</v>
      </c>
      <c r="H142" s="153" t="str">
        <f>"," &amp;ROUND(G142/10,0)</f>
        <v>,58</v>
      </c>
      <c r="K142" s="63">
        <v>136</v>
      </c>
      <c r="M142" s="73">
        <f t="shared" si="42"/>
        <v>1.36</v>
      </c>
      <c r="O142" s="72">
        <f t="shared" si="43"/>
        <v>10.9</v>
      </c>
      <c r="Q142" s="73">
        <f t="shared" si="44"/>
        <v>-27.3</v>
      </c>
      <c r="R142" s="39" t="str">
        <f t="shared" si="45"/>
        <v>49</v>
      </c>
      <c r="T142" s="77">
        <f t="shared" si="46"/>
        <v>57.2</v>
      </c>
      <c r="U142" s="155">
        <f t="shared" si="47"/>
        <v>97.2</v>
      </c>
      <c r="V142" s="39" t="str">
        <f t="shared" si="48"/>
        <v>,0x61</v>
      </c>
      <c r="X142" s="77">
        <f t="shared" si="49"/>
        <v>57.2</v>
      </c>
      <c r="Y142" s="155">
        <f t="shared" si="50"/>
        <v>97.2</v>
      </c>
      <c r="Z142" s="39" t="str">
        <f t="shared" si="51"/>
        <v>,0x61</v>
      </c>
      <c r="AB142" s="73">
        <f t="shared" si="52"/>
        <v>9</v>
      </c>
      <c r="AD142" s="157">
        <f t="shared" si="53"/>
        <v>0.27800000000000002</v>
      </c>
      <c r="AE142" s="157">
        <f t="shared" si="54"/>
        <v>71.168999999999997</v>
      </c>
      <c r="AG142" s="63" t="str">
        <f t="shared" si="55"/>
        <v>8B</v>
      </c>
      <c r="AJ142" s="63" t="str">
        <f t="shared" si="56"/>
        <v>8B</v>
      </c>
      <c r="AM142" s="63" t="str">
        <f t="shared" si="57"/>
        <v>8B</v>
      </c>
      <c r="AP142" s="63" t="str">
        <f t="shared" si="58"/>
        <v>8B</v>
      </c>
      <c r="AS142" s="63" t="str">
        <f t="shared" si="59"/>
        <v>8B</v>
      </c>
    </row>
    <row r="143" spans="1:45">
      <c r="A143" s="35" t="str">
        <f t="shared" si="40"/>
        <v>,137</v>
      </c>
      <c r="B143" s="35">
        <v>140</v>
      </c>
      <c r="C143" s="35" t="str">
        <f t="shared" si="41"/>
        <v>8C</v>
      </c>
      <c r="D143" s="73">
        <f>ROUND(B143*((100-9.48)/255) +9.48,1)</f>
        <v>59.2</v>
      </c>
      <c r="E143" s="39" t="str">
        <f>",0x" &amp;DEC2HEX(ROUND(D143,0))</f>
        <v>,0x3B</v>
      </c>
      <c r="G143" s="76">
        <f>B143*(1063)/255</f>
        <v>583.60784313725492</v>
      </c>
      <c r="H143" s="153" t="str">
        <f>"," &amp;ROUND(G143/10,0)</f>
        <v>,58</v>
      </c>
      <c r="K143" s="63">
        <v>137</v>
      </c>
      <c r="M143" s="73">
        <f t="shared" si="42"/>
        <v>1.37</v>
      </c>
      <c r="O143" s="72">
        <f t="shared" si="43"/>
        <v>10.98</v>
      </c>
      <c r="Q143" s="73">
        <f t="shared" si="44"/>
        <v>-27.1</v>
      </c>
      <c r="R143" s="39" t="str">
        <f t="shared" si="45"/>
        <v>4A</v>
      </c>
      <c r="T143" s="77">
        <f t="shared" si="46"/>
        <v>57.8</v>
      </c>
      <c r="U143" s="155">
        <f t="shared" si="47"/>
        <v>97.8</v>
      </c>
      <c r="V143" s="39" t="str">
        <f t="shared" si="48"/>
        <v>,0x61</v>
      </c>
      <c r="X143" s="77">
        <f t="shared" si="49"/>
        <v>57.8</v>
      </c>
      <c r="Y143" s="155">
        <f t="shared" si="50"/>
        <v>97.8</v>
      </c>
      <c r="Z143" s="39" t="str">
        <f t="shared" si="51"/>
        <v>,0x61</v>
      </c>
      <c r="AB143" s="73">
        <f t="shared" si="52"/>
        <v>10</v>
      </c>
      <c r="AD143" s="157">
        <f t="shared" si="53"/>
        <v>0.28000000000000003</v>
      </c>
      <c r="AE143" s="157">
        <f t="shared" si="54"/>
        <v>71.680999999999997</v>
      </c>
      <c r="AG143" s="63" t="str">
        <f t="shared" si="55"/>
        <v>8C</v>
      </c>
      <c r="AJ143" s="63" t="str">
        <f t="shared" si="56"/>
        <v>8C</v>
      </c>
      <c r="AM143" s="63" t="str">
        <f t="shared" si="57"/>
        <v>8C</v>
      </c>
      <c r="AP143" s="63" t="str">
        <f t="shared" si="58"/>
        <v>8C</v>
      </c>
      <c r="AS143" s="63" t="str">
        <f t="shared" si="59"/>
        <v>8C</v>
      </c>
    </row>
    <row r="144" spans="1:45">
      <c r="A144" s="35" t="str">
        <f t="shared" si="40"/>
        <v>,138</v>
      </c>
      <c r="B144" s="35">
        <v>141</v>
      </c>
      <c r="C144" s="35" t="str">
        <f t="shared" si="41"/>
        <v>8D</v>
      </c>
      <c r="D144" s="73">
        <f>ROUND(B144*((100-9.48)/255) +9.48,1)</f>
        <v>59.5</v>
      </c>
      <c r="E144" s="39" t="str">
        <f>",0x" &amp;DEC2HEX(ROUND(D144,0))</f>
        <v>,0x3C</v>
      </c>
      <c r="G144" s="76">
        <f>B144*(1063)/255</f>
        <v>587.77647058823527</v>
      </c>
      <c r="H144" s="153" t="str">
        <f>"," &amp;ROUND(G144/10,0)</f>
        <v>,59</v>
      </c>
      <c r="K144" s="63">
        <v>138</v>
      </c>
      <c r="M144" s="73">
        <f t="shared" si="42"/>
        <v>1.38</v>
      </c>
      <c r="O144" s="72">
        <f t="shared" si="43"/>
        <v>11.06</v>
      </c>
      <c r="Q144" s="73">
        <f t="shared" si="44"/>
        <v>-26.8</v>
      </c>
      <c r="R144" s="39" t="str">
        <f t="shared" si="45"/>
        <v>4A</v>
      </c>
      <c r="T144" s="77">
        <f t="shared" si="46"/>
        <v>58.5</v>
      </c>
      <c r="U144" s="155">
        <f t="shared" si="47"/>
        <v>98.5</v>
      </c>
      <c r="V144" s="39" t="str">
        <f t="shared" si="48"/>
        <v>,0x62</v>
      </c>
      <c r="X144" s="77">
        <f t="shared" si="49"/>
        <v>58.5</v>
      </c>
      <c r="Y144" s="155">
        <f t="shared" si="50"/>
        <v>98.5</v>
      </c>
      <c r="Z144" s="39" t="str">
        <f t="shared" si="51"/>
        <v>,0x62</v>
      </c>
      <c r="AB144" s="73">
        <f t="shared" si="52"/>
        <v>11</v>
      </c>
      <c r="AD144" s="157">
        <f t="shared" si="53"/>
        <v>0.28199999999999997</v>
      </c>
      <c r="AE144" s="157">
        <f t="shared" si="54"/>
        <v>72.192999999999998</v>
      </c>
      <c r="AG144" s="63" t="str">
        <f t="shared" si="55"/>
        <v>8D</v>
      </c>
      <c r="AJ144" s="63" t="str">
        <f t="shared" si="56"/>
        <v>8D</v>
      </c>
      <c r="AM144" s="63" t="str">
        <f t="shared" si="57"/>
        <v>8D</v>
      </c>
      <c r="AP144" s="63" t="str">
        <f t="shared" si="58"/>
        <v>8D</v>
      </c>
      <c r="AS144" s="63" t="str">
        <f t="shared" si="59"/>
        <v>8D</v>
      </c>
    </row>
    <row r="145" spans="1:45">
      <c r="A145" s="35" t="str">
        <f t="shared" si="40"/>
        <v>,139</v>
      </c>
      <c r="B145" s="35">
        <v>142</v>
      </c>
      <c r="C145" s="35" t="str">
        <f t="shared" si="41"/>
        <v>8E</v>
      </c>
      <c r="D145" s="73">
        <f>ROUND(B145*((100-9.48)/255) +9.48,1)</f>
        <v>59.9</v>
      </c>
      <c r="E145" s="39" t="str">
        <f>",0x" &amp;DEC2HEX(ROUND(D145,0))</f>
        <v>,0x3C</v>
      </c>
      <c r="G145" s="76">
        <f>B145*(1063)/255</f>
        <v>591.94509803921574</v>
      </c>
      <c r="H145" s="153" t="str">
        <f>"," &amp;ROUND(G145/10,0)</f>
        <v>,59</v>
      </c>
      <c r="K145" s="63">
        <v>139</v>
      </c>
      <c r="M145" s="73">
        <f t="shared" si="42"/>
        <v>1.39</v>
      </c>
      <c r="O145" s="72">
        <f t="shared" si="43"/>
        <v>11.14</v>
      </c>
      <c r="Q145" s="73">
        <f t="shared" si="44"/>
        <v>-26.6</v>
      </c>
      <c r="R145" s="39" t="str">
        <f t="shared" si="45"/>
        <v>4B</v>
      </c>
      <c r="T145" s="77">
        <f t="shared" si="46"/>
        <v>59.1</v>
      </c>
      <c r="U145" s="155">
        <f t="shared" si="47"/>
        <v>99.1</v>
      </c>
      <c r="V145" s="39" t="str">
        <f t="shared" si="48"/>
        <v>,0x63</v>
      </c>
      <c r="X145" s="77">
        <f t="shared" si="49"/>
        <v>59.1</v>
      </c>
      <c r="Y145" s="155">
        <f t="shared" si="50"/>
        <v>99.1</v>
      </c>
      <c r="Z145" s="39" t="str">
        <f t="shared" si="51"/>
        <v>,0x63</v>
      </c>
      <c r="AB145" s="73">
        <f t="shared" si="52"/>
        <v>11</v>
      </c>
      <c r="AD145" s="157">
        <f t="shared" si="53"/>
        <v>0.28399999999999997</v>
      </c>
      <c r="AE145" s="157">
        <f t="shared" si="54"/>
        <v>72.704999999999998</v>
      </c>
      <c r="AG145" s="63" t="str">
        <f t="shared" si="55"/>
        <v>8E</v>
      </c>
      <c r="AJ145" s="63" t="str">
        <f t="shared" si="56"/>
        <v>8E</v>
      </c>
      <c r="AM145" s="63" t="str">
        <f t="shared" si="57"/>
        <v>8E</v>
      </c>
      <c r="AP145" s="63" t="str">
        <f t="shared" si="58"/>
        <v>8E</v>
      </c>
      <c r="AS145" s="63" t="str">
        <f t="shared" si="59"/>
        <v>8E</v>
      </c>
    </row>
    <row r="146" spans="1:45">
      <c r="A146" s="35" t="str">
        <f t="shared" si="40"/>
        <v>,140</v>
      </c>
      <c r="B146" s="35">
        <v>143</v>
      </c>
      <c r="C146" s="35" t="str">
        <f t="shared" si="41"/>
        <v>8F</v>
      </c>
      <c r="D146" s="73">
        <f>ROUND(B146*((100-9.48)/255) +9.48,1)</f>
        <v>60.2</v>
      </c>
      <c r="E146" s="39" t="str">
        <f>",0x" &amp;DEC2HEX(ROUND(D146,0))</f>
        <v>,0x3C</v>
      </c>
      <c r="G146" s="76">
        <f>B146*(1063)/255</f>
        <v>596.11372549019609</v>
      </c>
      <c r="H146" s="153" t="str">
        <f>"," &amp;ROUND(G146/10,0)</f>
        <v>,60</v>
      </c>
      <c r="K146" s="63">
        <v>140</v>
      </c>
      <c r="M146" s="73">
        <f t="shared" si="42"/>
        <v>1.4</v>
      </c>
      <c r="O146" s="72">
        <f t="shared" si="43"/>
        <v>11.22</v>
      </c>
      <c r="Q146" s="73">
        <f t="shared" si="44"/>
        <v>-26.4</v>
      </c>
      <c r="R146" s="39" t="str">
        <f t="shared" si="45"/>
        <v>4B</v>
      </c>
      <c r="T146" s="77">
        <f t="shared" si="46"/>
        <v>59.7</v>
      </c>
      <c r="U146" s="155">
        <f t="shared" si="47"/>
        <v>99.7</v>
      </c>
      <c r="V146" s="39" t="str">
        <f t="shared" si="48"/>
        <v>,0x63</v>
      </c>
      <c r="X146" s="77">
        <f t="shared" si="49"/>
        <v>59.7</v>
      </c>
      <c r="Y146" s="155">
        <f t="shared" si="50"/>
        <v>99.7</v>
      </c>
      <c r="Z146" s="39" t="str">
        <f t="shared" si="51"/>
        <v>,0x63</v>
      </c>
      <c r="AB146" s="73">
        <f t="shared" si="52"/>
        <v>12</v>
      </c>
      <c r="AD146" s="157">
        <f t="shared" si="53"/>
        <v>0.28599999999999998</v>
      </c>
      <c r="AE146" s="157">
        <f t="shared" si="54"/>
        <v>73.216999999999999</v>
      </c>
      <c r="AG146" s="63" t="str">
        <f t="shared" si="55"/>
        <v>8F</v>
      </c>
      <c r="AJ146" s="63" t="str">
        <f t="shared" si="56"/>
        <v>8F</v>
      </c>
      <c r="AM146" s="63" t="str">
        <f t="shared" si="57"/>
        <v>8F</v>
      </c>
      <c r="AP146" s="63" t="str">
        <f t="shared" si="58"/>
        <v>8F</v>
      </c>
      <c r="AS146" s="63" t="str">
        <f t="shared" si="59"/>
        <v>8F</v>
      </c>
    </row>
    <row r="147" spans="1:45">
      <c r="A147" s="35" t="str">
        <f t="shared" si="40"/>
        <v>,141</v>
      </c>
      <c r="B147" s="35">
        <v>144</v>
      </c>
      <c r="C147" s="35" t="str">
        <f t="shared" si="41"/>
        <v>90</v>
      </c>
      <c r="D147" s="73">
        <f>ROUND(B147*((100-9.48)/255) +9.48,1)</f>
        <v>60.6</v>
      </c>
      <c r="E147" s="39" t="str">
        <f>",0x" &amp;DEC2HEX(ROUND(D147,0))</f>
        <v>,0x3D</v>
      </c>
      <c r="G147" s="76">
        <f>B147*(1063)/255</f>
        <v>600.28235294117644</v>
      </c>
      <c r="H147" s="153" t="str">
        <f>"," &amp;ROUND(G147/10,0)</f>
        <v>,60</v>
      </c>
      <c r="K147" s="63">
        <v>141</v>
      </c>
      <c r="M147" s="73">
        <f t="shared" si="42"/>
        <v>1.41</v>
      </c>
      <c r="O147" s="72">
        <f t="shared" si="43"/>
        <v>11.29</v>
      </c>
      <c r="Q147" s="73">
        <f t="shared" si="44"/>
        <v>-26.1</v>
      </c>
      <c r="R147" s="39" t="str">
        <f t="shared" si="45"/>
        <v>4C</v>
      </c>
      <c r="T147" s="77">
        <f t="shared" si="46"/>
        <v>60.4</v>
      </c>
      <c r="U147" s="155">
        <f t="shared" si="47"/>
        <v>100.4</v>
      </c>
      <c r="V147" s="39" t="str">
        <f t="shared" si="48"/>
        <v>,0x64</v>
      </c>
      <c r="X147" s="77">
        <f t="shared" si="49"/>
        <v>60.4</v>
      </c>
      <c r="Y147" s="155">
        <f t="shared" si="50"/>
        <v>100.4</v>
      </c>
      <c r="Z147" s="39" t="str">
        <f t="shared" si="51"/>
        <v>,0x64</v>
      </c>
      <c r="AB147" s="73">
        <f t="shared" si="52"/>
        <v>13</v>
      </c>
      <c r="AD147" s="157">
        <f t="shared" si="53"/>
        <v>0.28799999999999998</v>
      </c>
      <c r="AE147" s="157">
        <f t="shared" si="54"/>
        <v>73.728999999999999</v>
      </c>
      <c r="AG147" s="63" t="str">
        <f t="shared" si="55"/>
        <v>90</v>
      </c>
      <c r="AJ147" s="63" t="str">
        <f t="shared" si="56"/>
        <v>90</v>
      </c>
      <c r="AM147" s="63" t="str">
        <f t="shared" si="57"/>
        <v>90</v>
      </c>
      <c r="AP147" s="63" t="str">
        <f t="shared" si="58"/>
        <v>90</v>
      </c>
      <c r="AS147" s="63" t="str">
        <f t="shared" si="59"/>
        <v>90</v>
      </c>
    </row>
    <row r="148" spans="1:45">
      <c r="A148" s="35" t="str">
        <f t="shared" si="40"/>
        <v>,142</v>
      </c>
      <c r="B148" s="35">
        <v>145</v>
      </c>
      <c r="C148" s="35" t="str">
        <f t="shared" si="41"/>
        <v>91</v>
      </c>
      <c r="D148" s="73">
        <f>ROUND(B148*((100-9.48)/255) +9.48,1)</f>
        <v>61</v>
      </c>
      <c r="E148" s="39" t="str">
        <f>",0x" &amp;DEC2HEX(ROUND(D148,0))</f>
        <v>,0x3D</v>
      </c>
      <c r="G148" s="76">
        <f>B148*(1063)/255</f>
        <v>604.45098039215691</v>
      </c>
      <c r="H148" s="153" t="str">
        <f>"," &amp;ROUND(G148/10,0)</f>
        <v>,60</v>
      </c>
      <c r="K148" s="63">
        <v>142</v>
      </c>
      <c r="M148" s="73">
        <f t="shared" si="42"/>
        <v>1.42</v>
      </c>
      <c r="O148" s="72">
        <f t="shared" si="43"/>
        <v>11.37</v>
      </c>
      <c r="Q148" s="73">
        <f t="shared" si="44"/>
        <v>-25.9</v>
      </c>
      <c r="R148" s="39" t="str">
        <f t="shared" si="45"/>
        <v>4C</v>
      </c>
      <c r="T148" s="77">
        <f t="shared" si="46"/>
        <v>61</v>
      </c>
      <c r="U148" s="155">
        <f t="shared" si="47"/>
        <v>101</v>
      </c>
      <c r="V148" s="39" t="str">
        <f t="shared" si="48"/>
        <v>,0x65</v>
      </c>
      <c r="X148" s="77">
        <f t="shared" si="49"/>
        <v>61</v>
      </c>
      <c r="Y148" s="155">
        <f t="shared" si="50"/>
        <v>101</v>
      </c>
      <c r="Z148" s="39" t="str">
        <f t="shared" si="51"/>
        <v>,0x65</v>
      </c>
      <c r="AB148" s="73">
        <f t="shared" si="52"/>
        <v>14</v>
      </c>
      <c r="AD148" s="157">
        <f t="shared" si="53"/>
        <v>0.28999999999999998</v>
      </c>
      <c r="AE148" s="157">
        <f t="shared" si="54"/>
        <v>74.241</v>
      </c>
      <c r="AG148" s="63" t="str">
        <f t="shared" si="55"/>
        <v>91</v>
      </c>
      <c r="AJ148" s="63" t="str">
        <f t="shared" si="56"/>
        <v>91</v>
      </c>
      <c r="AM148" s="63" t="str">
        <f t="shared" si="57"/>
        <v>91</v>
      </c>
      <c r="AP148" s="63" t="str">
        <f t="shared" si="58"/>
        <v>91</v>
      </c>
      <c r="AS148" s="63" t="str">
        <f t="shared" si="59"/>
        <v>91</v>
      </c>
    </row>
    <row r="149" spans="1:45">
      <c r="A149" s="35" t="str">
        <f t="shared" si="40"/>
        <v>,143</v>
      </c>
      <c r="B149" s="35">
        <v>146</v>
      </c>
      <c r="C149" s="35" t="str">
        <f t="shared" si="41"/>
        <v>92</v>
      </c>
      <c r="D149" s="73">
        <f>ROUND(B149*((100-9.48)/255) +9.48,1)</f>
        <v>61.3</v>
      </c>
      <c r="E149" s="39" t="str">
        <f>",0x" &amp;DEC2HEX(ROUND(D149,0))</f>
        <v>,0x3D</v>
      </c>
      <c r="G149" s="76">
        <f>B149*(1063)/255</f>
        <v>608.61960784313726</v>
      </c>
      <c r="H149" s="153" t="str">
        <f>"," &amp;ROUND(G149/10,0)</f>
        <v>,61</v>
      </c>
      <c r="K149" s="63">
        <v>143</v>
      </c>
      <c r="M149" s="73">
        <f t="shared" si="42"/>
        <v>1.43</v>
      </c>
      <c r="O149" s="72">
        <f t="shared" si="43"/>
        <v>11.45</v>
      </c>
      <c r="Q149" s="73">
        <f t="shared" si="44"/>
        <v>-25.6</v>
      </c>
      <c r="R149" s="39" t="str">
        <f t="shared" si="45"/>
        <v>4D</v>
      </c>
      <c r="T149" s="77">
        <f t="shared" si="46"/>
        <v>61.6</v>
      </c>
      <c r="U149" s="155">
        <f t="shared" si="47"/>
        <v>101.6</v>
      </c>
      <c r="V149" s="39" t="str">
        <f t="shared" si="48"/>
        <v>,0x65</v>
      </c>
      <c r="X149" s="77">
        <f t="shared" si="49"/>
        <v>61.6</v>
      </c>
      <c r="Y149" s="155">
        <f t="shared" si="50"/>
        <v>101.6</v>
      </c>
      <c r="Z149" s="39" t="str">
        <f t="shared" si="51"/>
        <v>,0x65</v>
      </c>
      <c r="AB149" s="73">
        <f t="shared" si="52"/>
        <v>15</v>
      </c>
      <c r="AD149" s="157">
        <f t="shared" si="53"/>
        <v>0.29199999999999998</v>
      </c>
      <c r="AE149" s="157">
        <f t="shared" si="54"/>
        <v>74.753</v>
      </c>
      <c r="AG149" s="63" t="str">
        <f t="shared" si="55"/>
        <v>92</v>
      </c>
      <c r="AJ149" s="63" t="str">
        <f t="shared" si="56"/>
        <v>92</v>
      </c>
      <c r="AM149" s="63" t="str">
        <f t="shared" si="57"/>
        <v>92</v>
      </c>
      <c r="AP149" s="63" t="str">
        <f t="shared" si="58"/>
        <v>92</v>
      </c>
      <c r="AS149" s="63" t="str">
        <f t="shared" si="59"/>
        <v>92</v>
      </c>
    </row>
    <row r="150" spans="1:45">
      <c r="A150" s="35" t="str">
        <f t="shared" si="40"/>
        <v>,144</v>
      </c>
      <c r="B150" s="35">
        <v>147</v>
      </c>
      <c r="C150" s="35" t="str">
        <f t="shared" si="41"/>
        <v>93</v>
      </c>
      <c r="D150" s="73">
        <f>ROUND(B150*((100-9.48)/255) +9.48,1)</f>
        <v>61.7</v>
      </c>
      <c r="E150" s="39" t="str">
        <f>",0x" &amp;DEC2HEX(ROUND(D150,0))</f>
        <v>,0x3E</v>
      </c>
      <c r="G150" s="76">
        <f>B150*(1063)/255</f>
        <v>612.78823529411761</v>
      </c>
      <c r="H150" s="153" t="str">
        <f>"," &amp;ROUND(G150/10,0)</f>
        <v>,61</v>
      </c>
      <c r="K150" s="63">
        <v>144</v>
      </c>
      <c r="M150" s="73">
        <f t="shared" si="42"/>
        <v>1.44</v>
      </c>
      <c r="O150" s="72">
        <f t="shared" si="43"/>
        <v>11.53</v>
      </c>
      <c r="Q150" s="73">
        <f t="shared" si="44"/>
        <v>-25.4</v>
      </c>
      <c r="R150" s="39" t="str">
        <f t="shared" si="45"/>
        <v>4D</v>
      </c>
      <c r="T150" s="77">
        <f t="shared" si="46"/>
        <v>62.2</v>
      </c>
      <c r="U150" s="155">
        <f t="shared" si="47"/>
        <v>102.2</v>
      </c>
      <c r="V150" s="39" t="str">
        <f t="shared" si="48"/>
        <v>,0x66</v>
      </c>
      <c r="X150" s="77">
        <f t="shared" si="49"/>
        <v>62.2</v>
      </c>
      <c r="Y150" s="155">
        <f t="shared" si="50"/>
        <v>102.2</v>
      </c>
      <c r="Z150" s="39" t="str">
        <f t="shared" si="51"/>
        <v>,0x66</v>
      </c>
      <c r="AB150" s="73">
        <f t="shared" si="52"/>
        <v>15</v>
      </c>
      <c r="AD150" s="157">
        <f t="shared" si="53"/>
        <v>0.29399999999999998</v>
      </c>
      <c r="AE150" s="157">
        <f t="shared" si="54"/>
        <v>75.265000000000001</v>
      </c>
      <c r="AG150" s="63" t="str">
        <f t="shared" si="55"/>
        <v>93</v>
      </c>
      <c r="AJ150" s="63" t="str">
        <f t="shared" si="56"/>
        <v>93</v>
      </c>
      <c r="AM150" s="63" t="str">
        <f t="shared" si="57"/>
        <v>93</v>
      </c>
      <c r="AP150" s="63" t="str">
        <f t="shared" si="58"/>
        <v>93</v>
      </c>
      <c r="AS150" s="63" t="str">
        <f t="shared" si="59"/>
        <v>93</v>
      </c>
    </row>
    <row r="151" spans="1:45">
      <c r="A151" s="35" t="str">
        <f t="shared" si="40"/>
        <v>,145</v>
      </c>
      <c r="B151" s="35">
        <v>148</v>
      </c>
      <c r="C151" s="35" t="str">
        <f t="shared" si="41"/>
        <v>94</v>
      </c>
      <c r="D151" s="73">
        <f>ROUND(B151*((100-9.48)/255) +9.48,1)</f>
        <v>62</v>
      </c>
      <c r="E151" s="39" t="str">
        <f>",0x" &amp;DEC2HEX(ROUND(D151,0))</f>
        <v>,0x3E</v>
      </c>
      <c r="G151" s="76">
        <f>B151*(1063)/255</f>
        <v>616.95686274509808</v>
      </c>
      <c r="H151" s="153" t="str">
        <f>"," &amp;ROUND(G151/10,0)</f>
        <v>,62</v>
      </c>
      <c r="K151" s="63">
        <v>145</v>
      </c>
      <c r="M151" s="73">
        <f t="shared" si="42"/>
        <v>1.45</v>
      </c>
      <c r="O151" s="72">
        <f t="shared" si="43"/>
        <v>11.61</v>
      </c>
      <c r="Q151" s="73">
        <f t="shared" si="44"/>
        <v>-25.2</v>
      </c>
      <c r="R151" s="39" t="str">
        <f t="shared" si="45"/>
        <v>4E</v>
      </c>
      <c r="T151" s="77">
        <f t="shared" si="46"/>
        <v>62.9</v>
      </c>
      <c r="U151" s="155">
        <f t="shared" si="47"/>
        <v>102.9</v>
      </c>
      <c r="V151" s="39" t="str">
        <f t="shared" si="48"/>
        <v>,0x66</v>
      </c>
      <c r="X151" s="77">
        <f t="shared" si="49"/>
        <v>62.9</v>
      </c>
      <c r="Y151" s="155">
        <f t="shared" si="50"/>
        <v>102.9</v>
      </c>
      <c r="Z151" s="39" t="str">
        <f t="shared" si="51"/>
        <v>,0x66</v>
      </c>
      <c r="AB151" s="73">
        <f t="shared" si="52"/>
        <v>16</v>
      </c>
      <c r="AD151" s="157">
        <f t="shared" si="53"/>
        <v>0.29599999999999999</v>
      </c>
      <c r="AE151" s="157">
        <f t="shared" si="54"/>
        <v>75.777000000000001</v>
      </c>
      <c r="AG151" s="63" t="str">
        <f t="shared" si="55"/>
        <v>94</v>
      </c>
      <c r="AJ151" s="63" t="str">
        <f t="shared" si="56"/>
        <v>94</v>
      </c>
      <c r="AM151" s="63" t="str">
        <f t="shared" si="57"/>
        <v>94</v>
      </c>
      <c r="AP151" s="63" t="str">
        <f t="shared" si="58"/>
        <v>94</v>
      </c>
      <c r="AS151" s="63" t="str">
        <f t="shared" si="59"/>
        <v>94</v>
      </c>
    </row>
    <row r="152" spans="1:45">
      <c r="A152" s="35" t="str">
        <f t="shared" si="40"/>
        <v>,146</v>
      </c>
      <c r="B152" s="35">
        <v>149</v>
      </c>
      <c r="C152" s="35" t="str">
        <f t="shared" si="41"/>
        <v>95</v>
      </c>
      <c r="D152" s="73">
        <f>ROUND(B152*((100-9.48)/255) +9.48,1)</f>
        <v>62.4</v>
      </c>
      <c r="E152" s="39" t="str">
        <f>",0x" &amp;DEC2HEX(ROUND(D152,0))</f>
        <v>,0x3E</v>
      </c>
      <c r="G152" s="76">
        <f>B152*(1063)/255</f>
        <v>621.12549019607843</v>
      </c>
      <c r="H152" s="153" t="str">
        <f>"," &amp;ROUND(G152/10,0)</f>
        <v>,62</v>
      </c>
      <c r="K152" s="63">
        <v>146</v>
      </c>
      <c r="M152" s="73">
        <f t="shared" si="42"/>
        <v>1.46</v>
      </c>
      <c r="O152" s="72">
        <f t="shared" si="43"/>
        <v>11.69</v>
      </c>
      <c r="Q152" s="73">
        <f t="shared" si="44"/>
        <v>-24.9</v>
      </c>
      <c r="R152" s="39" t="str">
        <f t="shared" si="45"/>
        <v>4E</v>
      </c>
      <c r="T152" s="77">
        <f t="shared" si="46"/>
        <v>63.5</v>
      </c>
      <c r="U152" s="155">
        <f t="shared" si="47"/>
        <v>103.5</v>
      </c>
      <c r="V152" s="39" t="str">
        <f t="shared" si="48"/>
        <v>,0x67</v>
      </c>
      <c r="X152" s="77">
        <f t="shared" si="49"/>
        <v>63.5</v>
      </c>
      <c r="Y152" s="155">
        <f t="shared" si="50"/>
        <v>103.5</v>
      </c>
      <c r="Z152" s="39" t="str">
        <f t="shared" si="51"/>
        <v>,0x67</v>
      </c>
      <c r="AB152" s="73">
        <f t="shared" si="52"/>
        <v>17</v>
      </c>
      <c r="AD152" s="157">
        <f t="shared" si="53"/>
        <v>0.29799999999999999</v>
      </c>
      <c r="AE152" s="157">
        <f t="shared" si="54"/>
        <v>76.289000000000001</v>
      </c>
      <c r="AG152" s="63" t="str">
        <f t="shared" si="55"/>
        <v>95</v>
      </c>
      <c r="AJ152" s="63" t="str">
        <f t="shared" si="56"/>
        <v>95</v>
      </c>
      <c r="AM152" s="63" t="str">
        <f t="shared" si="57"/>
        <v>95</v>
      </c>
      <c r="AP152" s="63" t="str">
        <f t="shared" si="58"/>
        <v>95</v>
      </c>
      <c r="AS152" s="63" t="str">
        <f t="shared" si="59"/>
        <v>95</v>
      </c>
    </row>
    <row r="153" spans="1:45">
      <c r="A153" s="35" t="str">
        <f t="shared" si="40"/>
        <v>,147</v>
      </c>
      <c r="B153" s="35">
        <v>150</v>
      </c>
      <c r="C153" s="35" t="str">
        <f t="shared" si="41"/>
        <v>96</v>
      </c>
      <c r="D153" s="73">
        <f>ROUND(B153*((100-9.48)/255) +9.48,1)</f>
        <v>62.7</v>
      </c>
      <c r="E153" s="39" t="str">
        <f>",0x" &amp;DEC2HEX(ROUND(D153,0))</f>
        <v>,0x3F</v>
      </c>
      <c r="G153" s="76">
        <f>B153*(1063)/255</f>
        <v>625.29411764705878</v>
      </c>
      <c r="H153" s="153" t="str">
        <f>"," &amp;ROUND(G153/10,0)</f>
        <v>,63</v>
      </c>
      <c r="K153" s="63">
        <v>147</v>
      </c>
      <c r="M153" s="73">
        <f t="shared" si="42"/>
        <v>1.47</v>
      </c>
      <c r="O153" s="72">
        <f t="shared" si="43"/>
        <v>11.76</v>
      </c>
      <c r="Q153" s="73">
        <f t="shared" si="44"/>
        <v>-24.7</v>
      </c>
      <c r="R153" s="39" t="str">
        <f t="shared" si="45"/>
        <v>4F</v>
      </c>
      <c r="T153" s="77">
        <f t="shared" si="46"/>
        <v>64.099999999999994</v>
      </c>
      <c r="U153" s="155">
        <f t="shared" si="47"/>
        <v>104.1</v>
      </c>
      <c r="V153" s="39" t="str">
        <f t="shared" si="48"/>
        <v>,0x68</v>
      </c>
      <c r="X153" s="77">
        <f t="shared" si="49"/>
        <v>64.099999999999994</v>
      </c>
      <c r="Y153" s="155">
        <f t="shared" si="50"/>
        <v>104.1</v>
      </c>
      <c r="Z153" s="39" t="str">
        <f t="shared" si="51"/>
        <v>,0x68</v>
      </c>
      <c r="AB153" s="73">
        <f t="shared" si="52"/>
        <v>18</v>
      </c>
      <c r="AD153" s="157">
        <f t="shared" si="53"/>
        <v>0.3</v>
      </c>
      <c r="AE153" s="157">
        <f t="shared" si="54"/>
        <v>76.801000000000002</v>
      </c>
      <c r="AG153" s="63" t="str">
        <f t="shared" si="55"/>
        <v>96</v>
      </c>
      <c r="AJ153" s="63" t="str">
        <f t="shared" si="56"/>
        <v>96</v>
      </c>
      <c r="AM153" s="63" t="str">
        <f t="shared" si="57"/>
        <v>96</v>
      </c>
      <c r="AP153" s="63" t="str">
        <f t="shared" si="58"/>
        <v>96</v>
      </c>
      <c r="AS153" s="63" t="str">
        <f t="shared" si="59"/>
        <v>96</v>
      </c>
    </row>
    <row r="154" spans="1:45">
      <c r="A154" s="35" t="str">
        <f t="shared" si="40"/>
        <v>,147</v>
      </c>
      <c r="B154" s="35">
        <v>151</v>
      </c>
      <c r="C154" s="35" t="str">
        <f t="shared" si="41"/>
        <v>97</v>
      </c>
      <c r="D154" s="73">
        <f>ROUND(B154*((100-9.48)/255) +9.48,1)</f>
        <v>63.1</v>
      </c>
      <c r="E154" s="39" t="str">
        <f>",0x" &amp;DEC2HEX(ROUND(D154,0))</f>
        <v>,0x3F</v>
      </c>
      <c r="G154" s="76">
        <f>B154*(1063)/255</f>
        <v>629.46274509803925</v>
      </c>
      <c r="H154" s="153" t="str">
        <f>"," &amp;ROUND(G154/10,0)</f>
        <v>,63</v>
      </c>
      <c r="K154" s="63">
        <v>147</v>
      </c>
      <c r="M154" s="73">
        <f t="shared" si="42"/>
        <v>1.48</v>
      </c>
      <c r="O154" s="72">
        <f t="shared" si="43"/>
        <v>11.84</v>
      </c>
      <c r="Q154" s="73">
        <f t="shared" si="44"/>
        <v>-24.5</v>
      </c>
      <c r="R154" s="39" t="str">
        <f t="shared" si="45"/>
        <v>4F</v>
      </c>
      <c r="T154" s="77">
        <f t="shared" si="46"/>
        <v>64.7</v>
      </c>
      <c r="U154" s="155">
        <f t="shared" si="47"/>
        <v>104.7</v>
      </c>
      <c r="V154" s="39" t="str">
        <f t="shared" si="48"/>
        <v>,0x68</v>
      </c>
      <c r="X154" s="77">
        <f t="shared" si="49"/>
        <v>64.7</v>
      </c>
      <c r="Y154" s="155">
        <f t="shared" si="50"/>
        <v>104.7</v>
      </c>
      <c r="Z154" s="39" t="str">
        <f t="shared" si="51"/>
        <v>,0x68</v>
      </c>
      <c r="AB154" s="73">
        <f t="shared" si="52"/>
        <v>18</v>
      </c>
      <c r="AD154" s="157">
        <f t="shared" si="53"/>
        <v>0.30199999999999999</v>
      </c>
      <c r="AE154" s="157">
        <f t="shared" si="54"/>
        <v>77.313000000000002</v>
      </c>
      <c r="AG154" s="63" t="str">
        <f t="shared" si="55"/>
        <v>97</v>
      </c>
      <c r="AJ154" s="63" t="str">
        <f t="shared" si="56"/>
        <v>97</v>
      </c>
      <c r="AM154" s="63" t="str">
        <f t="shared" si="57"/>
        <v>97</v>
      </c>
      <c r="AP154" s="63" t="str">
        <f t="shared" si="58"/>
        <v>97</v>
      </c>
      <c r="AS154" s="63" t="str">
        <f t="shared" si="59"/>
        <v>97</v>
      </c>
    </row>
    <row r="155" spans="1:45">
      <c r="A155" s="35" t="str">
        <f t="shared" si="40"/>
        <v>,148</v>
      </c>
      <c r="B155" s="35">
        <v>152</v>
      </c>
      <c r="C155" s="35" t="str">
        <f t="shared" si="41"/>
        <v>98</v>
      </c>
      <c r="D155" s="73">
        <f>ROUND(B155*((100-9.48)/255) +9.48,1)</f>
        <v>63.4</v>
      </c>
      <c r="E155" s="39" t="str">
        <f>",0x" &amp;DEC2HEX(ROUND(D155,0))</f>
        <v>,0x3F</v>
      </c>
      <c r="G155" s="76">
        <f>B155*(1063)/255</f>
        <v>633.6313725490196</v>
      </c>
      <c r="H155" s="153" t="str">
        <f>"," &amp;ROUND(G155/10,0)</f>
        <v>,63</v>
      </c>
      <c r="K155" s="63">
        <v>148</v>
      </c>
      <c r="M155" s="73">
        <f t="shared" si="42"/>
        <v>1.49</v>
      </c>
      <c r="O155" s="72">
        <f t="shared" si="43"/>
        <v>11.92</v>
      </c>
      <c r="Q155" s="73">
        <f t="shared" si="44"/>
        <v>-24.2</v>
      </c>
      <c r="R155" s="39" t="str">
        <f t="shared" si="45"/>
        <v>50</v>
      </c>
      <c r="T155" s="77">
        <f t="shared" si="46"/>
        <v>65.400000000000006</v>
      </c>
      <c r="U155" s="155">
        <f t="shared" si="47"/>
        <v>105.4</v>
      </c>
      <c r="V155" s="39" t="str">
        <f t="shared" si="48"/>
        <v>,0x69</v>
      </c>
      <c r="X155" s="77">
        <f t="shared" si="49"/>
        <v>65.400000000000006</v>
      </c>
      <c r="Y155" s="155">
        <f t="shared" si="50"/>
        <v>105.4</v>
      </c>
      <c r="Z155" s="39" t="str">
        <f t="shared" si="51"/>
        <v>,0x69</v>
      </c>
      <c r="AB155" s="73">
        <f t="shared" si="52"/>
        <v>19</v>
      </c>
      <c r="AD155" s="157">
        <f t="shared" si="53"/>
        <v>0.30399999999999999</v>
      </c>
      <c r="AE155" s="157">
        <f t="shared" si="54"/>
        <v>77.825000000000003</v>
      </c>
      <c r="AG155" s="63" t="str">
        <f t="shared" si="55"/>
        <v>98</v>
      </c>
      <c r="AJ155" s="63" t="str">
        <f t="shared" si="56"/>
        <v>98</v>
      </c>
      <c r="AM155" s="63" t="str">
        <f t="shared" si="57"/>
        <v>98</v>
      </c>
      <c r="AP155" s="63" t="str">
        <f t="shared" si="58"/>
        <v>98</v>
      </c>
      <c r="AS155" s="63" t="str">
        <f t="shared" si="59"/>
        <v>98</v>
      </c>
    </row>
    <row r="156" spans="1:45">
      <c r="A156" s="35" t="str">
        <f t="shared" si="40"/>
        <v>,149</v>
      </c>
      <c r="B156" s="35">
        <v>153</v>
      </c>
      <c r="C156" s="35" t="str">
        <f t="shared" si="41"/>
        <v>99</v>
      </c>
      <c r="D156" s="73">
        <f>ROUND(B156*((100-9.48)/255) +9.48,1)</f>
        <v>63.8</v>
      </c>
      <c r="E156" s="39" t="str">
        <f>",0x" &amp;DEC2HEX(ROUND(D156,0))</f>
        <v>,0x40</v>
      </c>
      <c r="G156" s="76">
        <f>B156*(1063)/255</f>
        <v>637.79999999999995</v>
      </c>
      <c r="H156" s="153" t="str">
        <f>"," &amp;ROUND(G156/10,0)</f>
        <v>,64</v>
      </c>
      <c r="K156" s="63">
        <v>149</v>
      </c>
      <c r="M156" s="73">
        <f t="shared" si="42"/>
        <v>1.5</v>
      </c>
      <c r="O156" s="72">
        <f t="shared" si="43"/>
        <v>12</v>
      </c>
      <c r="Q156" s="73">
        <f t="shared" si="44"/>
        <v>-24</v>
      </c>
      <c r="R156" s="39" t="str">
        <f t="shared" si="45"/>
        <v>50</v>
      </c>
      <c r="T156" s="77">
        <f t="shared" si="46"/>
        <v>66</v>
      </c>
      <c r="U156" s="155">
        <f t="shared" si="47"/>
        <v>106</v>
      </c>
      <c r="V156" s="39" t="str">
        <f t="shared" si="48"/>
        <v>,0x6A</v>
      </c>
      <c r="X156" s="77">
        <f t="shared" si="49"/>
        <v>66</v>
      </c>
      <c r="Y156" s="155">
        <f t="shared" si="50"/>
        <v>106</v>
      </c>
      <c r="Z156" s="39" t="str">
        <f t="shared" si="51"/>
        <v>,0x6A</v>
      </c>
      <c r="AB156" s="73">
        <f t="shared" si="52"/>
        <v>20</v>
      </c>
      <c r="AD156" s="157">
        <f t="shared" si="53"/>
        <v>0.30599999999999999</v>
      </c>
      <c r="AE156" s="157">
        <f t="shared" si="54"/>
        <v>78.337000000000003</v>
      </c>
      <c r="AG156" s="63" t="str">
        <f t="shared" si="55"/>
        <v>99</v>
      </c>
      <c r="AJ156" s="63" t="str">
        <f t="shared" si="56"/>
        <v>99</v>
      </c>
      <c r="AM156" s="63" t="str">
        <f t="shared" si="57"/>
        <v>99</v>
      </c>
      <c r="AP156" s="63" t="str">
        <f t="shared" si="58"/>
        <v>99</v>
      </c>
      <c r="AS156" s="63" t="str">
        <f t="shared" si="59"/>
        <v>99</v>
      </c>
    </row>
    <row r="157" spans="1:45">
      <c r="A157" s="35" t="str">
        <f t="shared" si="40"/>
        <v>,150</v>
      </c>
      <c r="B157" s="35">
        <v>154</v>
      </c>
      <c r="C157" s="35" t="str">
        <f t="shared" si="41"/>
        <v>9A</v>
      </c>
      <c r="D157" s="73">
        <f>ROUND(B157*((100-9.48)/255) +9.48,1)</f>
        <v>64.099999999999994</v>
      </c>
      <c r="E157" s="39" t="str">
        <f>",0x" &amp;DEC2HEX(ROUND(D157,0))</f>
        <v>,0x40</v>
      </c>
      <c r="G157" s="76">
        <f>B157*(1063)/255</f>
        <v>641.96862745098042</v>
      </c>
      <c r="H157" s="153" t="str">
        <f>"," &amp;ROUND(G157/10,0)</f>
        <v>,64</v>
      </c>
      <c r="K157" s="63">
        <v>150</v>
      </c>
      <c r="M157" s="73">
        <f t="shared" si="42"/>
        <v>1.51</v>
      </c>
      <c r="O157" s="72">
        <f t="shared" si="43"/>
        <v>12.08</v>
      </c>
      <c r="Q157" s="73">
        <f t="shared" si="44"/>
        <v>-23.8</v>
      </c>
      <c r="R157" s="39" t="str">
        <f t="shared" si="45"/>
        <v>50</v>
      </c>
      <c r="T157" s="77">
        <f t="shared" si="46"/>
        <v>66.599999999999994</v>
      </c>
      <c r="U157" s="155">
        <f t="shared" si="47"/>
        <v>106.6</v>
      </c>
      <c r="V157" s="39" t="str">
        <f t="shared" si="48"/>
        <v>,0x6A</v>
      </c>
      <c r="X157" s="77">
        <f t="shared" si="49"/>
        <v>66.599999999999994</v>
      </c>
      <c r="Y157" s="155">
        <f t="shared" si="50"/>
        <v>106.6</v>
      </c>
      <c r="Z157" s="39" t="str">
        <f t="shared" si="51"/>
        <v>,0x6A</v>
      </c>
      <c r="AB157" s="73">
        <f t="shared" si="52"/>
        <v>21</v>
      </c>
      <c r="AD157" s="157">
        <f t="shared" si="53"/>
        <v>0.308</v>
      </c>
      <c r="AE157" s="157">
        <f t="shared" si="54"/>
        <v>78.849000000000004</v>
      </c>
      <c r="AG157" s="63" t="str">
        <f t="shared" si="55"/>
        <v>9A</v>
      </c>
      <c r="AJ157" s="63" t="str">
        <f t="shared" si="56"/>
        <v>9A</v>
      </c>
      <c r="AM157" s="63" t="str">
        <f t="shared" si="57"/>
        <v>9A</v>
      </c>
      <c r="AP157" s="63" t="str">
        <f t="shared" si="58"/>
        <v>9A</v>
      </c>
      <c r="AS157" s="63" t="str">
        <f t="shared" si="59"/>
        <v>9A</v>
      </c>
    </row>
    <row r="158" spans="1:45">
      <c r="A158" s="35" t="str">
        <f t="shared" si="40"/>
        <v>,151</v>
      </c>
      <c r="B158" s="35">
        <v>155</v>
      </c>
      <c r="C158" s="35" t="str">
        <f t="shared" si="41"/>
        <v>9B</v>
      </c>
      <c r="D158" s="73">
        <f>ROUND(B158*((100-9.48)/255) +9.48,1)</f>
        <v>64.5</v>
      </c>
      <c r="E158" s="39" t="str">
        <f>",0x" &amp;DEC2HEX(ROUND(D158,0))</f>
        <v>,0x41</v>
      </c>
      <c r="G158" s="76">
        <f>B158*(1063)/255</f>
        <v>646.13725490196077</v>
      </c>
      <c r="H158" s="153" t="str">
        <f>"," &amp;ROUND(G158/10,0)</f>
        <v>,65</v>
      </c>
      <c r="K158" s="63">
        <v>151</v>
      </c>
      <c r="M158" s="73">
        <f t="shared" si="42"/>
        <v>1.52</v>
      </c>
      <c r="O158" s="72">
        <f t="shared" si="43"/>
        <v>12.16</v>
      </c>
      <c r="Q158" s="73">
        <f t="shared" si="44"/>
        <v>-23.5</v>
      </c>
      <c r="R158" s="39" t="str">
        <f t="shared" si="45"/>
        <v>51</v>
      </c>
      <c r="T158" s="77">
        <f t="shared" si="46"/>
        <v>67.3</v>
      </c>
      <c r="U158" s="155">
        <f t="shared" si="47"/>
        <v>107.3</v>
      </c>
      <c r="V158" s="39" t="str">
        <f t="shared" si="48"/>
        <v>,0x6B</v>
      </c>
      <c r="X158" s="77">
        <f t="shared" si="49"/>
        <v>67.3</v>
      </c>
      <c r="Y158" s="155">
        <f t="shared" si="50"/>
        <v>107.3</v>
      </c>
      <c r="Z158" s="39" t="str">
        <f t="shared" si="51"/>
        <v>,0x6B</v>
      </c>
      <c r="AB158" s="73">
        <f t="shared" si="52"/>
        <v>22</v>
      </c>
      <c r="AD158" s="157">
        <f t="shared" si="53"/>
        <v>0.31</v>
      </c>
      <c r="AE158" s="157">
        <f t="shared" si="54"/>
        <v>79.361000000000004</v>
      </c>
      <c r="AG158" s="63" t="str">
        <f t="shared" si="55"/>
        <v>9B</v>
      </c>
      <c r="AJ158" s="63" t="str">
        <f t="shared" si="56"/>
        <v>9B</v>
      </c>
      <c r="AM158" s="63" t="str">
        <f t="shared" si="57"/>
        <v>9B</v>
      </c>
      <c r="AP158" s="63" t="str">
        <f t="shared" si="58"/>
        <v>9B</v>
      </c>
      <c r="AS158" s="63" t="str">
        <f t="shared" si="59"/>
        <v>9B</v>
      </c>
    </row>
    <row r="159" spans="1:45">
      <c r="A159" s="35" t="str">
        <f t="shared" si="40"/>
        <v>,152</v>
      </c>
      <c r="B159" s="35">
        <v>156</v>
      </c>
      <c r="C159" s="35" t="str">
        <f t="shared" si="41"/>
        <v>9C</v>
      </c>
      <c r="D159" s="73">
        <f>ROUND(B159*((100-9.48)/255) +9.48,1)</f>
        <v>64.900000000000006</v>
      </c>
      <c r="E159" s="39" t="str">
        <f>",0x" &amp;DEC2HEX(ROUND(D159,0))</f>
        <v>,0x41</v>
      </c>
      <c r="G159" s="76">
        <f>B159*(1063)/255</f>
        <v>650.30588235294113</v>
      </c>
      <c r="H159" s="153" t="str">
        <f>"," &amp;ROUND(G159/10,0)</f>
        <v>,65</v>
      </c>
      <c r="K159" s="63">
        <v>152</v>
      </c>
      <c r="M159" s="73">
        <f t="shared" si="42"/>
        <v>1.53</v>
      </c>
      <c r="O159" s="72">
        <f t="shared" si="43"/>
        <v>12.24</v>
      </c>
      <c r="Q159" s="73">
        <f t="shared" si="44"/>
        <v>-23.3</v>
      </c>
      <c r="R159" s="39" t="str">
        <f t="shared" si="45"/>
        <v>51</v>
      </c>
      <c r="T159" s="77">
        <f t="shared" si="46"/>
        <v>67.900000000000006</v>
      </c>
      <c r="U159" s="155">
        <f t="shared" si="47"/>
        <v>107.9</v>
      </c>
      <c r="V159" s="39" t="str">
        <f t="shared" si="48"/>
        <v>,0x6B</v>
      </c>
      <c r="X159" s="77">
        <f t="shared" si="49"/>
        <v>67.900000000000006</v>
      </c>
      <c r="Y159" s="155">
        <f t="shared" si="50"/>
        <v>107.9</v>
      </c>
      <c r="Z159" s="39" t="str">
        <f t="shared" si="51"/>
        <v>,0x6B</v>
      </c>
      <c r="AB159" s="73">
        <f t="shared" si="52"/>
        <v>22</v>
      </c>
      <c r="AD159" s="157">
        <f t="shared" si="53"/>
        <v>0.312</v>
      </c>
      <c r="AE159" s="157">
        <f t="shared" si="54"/>
        <v>79.873000000000005</v>
      </c>
      <c r="AG159" s="63" t="str">
        <f t="shared" si="55"/>
        <v>9C</v>
      </c>
      <c r="AJ159" s="63" t="str">
        <f t="shared" si="56"/>
        <v>9C</v>
      </c>
      <c r="AM159" s="63" t="str">
        <f t="shared" si="57"/>
        <v>9C</v>
      </c>
      <c r="AP159" s="63" t="str">
        <f t="shared" si="58"/>
        <v>9C</v>
      </c>
      <c r="AS159" s="63" t="str">
        <f t="shared" si="59"/>
        <v>9C</v>
      </c>
    </row>
    <row r="160" spans="1:45">
      <c r="A160" s="35" t="str">
        <f t="shared" si="40"/>
        <v>,153</v>
      </c>
      <c r="B160" s="35">
        <v>157</v>
      </c>
      <c r="C160" s="35" t="str">
        <f t="shared" si="41"/>
        <v>9D</v>
      </c>
      <c r="D160" s="73">
        <f>ROUND(B160*((100-9.48)/255) +9.48,1)</f>
        <v>65.2</v>
      </c>
      <c r="E160" s="39" t="str">
        <f>",0x" &amp;DEC2HEX(ROUND(D160,0))</f>
        <v>,0x41</v>
      </c>
      <c r="G160" s="76">
        <f>B160*(1063)/255</f>
        <v>654.47450980392159</v>
      </c>
      <c r="H160" s="153" t="str">
        <f>"," &amp;ROUND(G160/10,0)</f>
        <v>,65</v>
      </c>
      <c r="K160" s="63">
        <v>153</v>
      </c>
      <c r="M160" s="73">
        <f t="shared" si="42"/>
        <v>1.54</v>
      </c>
      <c r="O160" s="72">
        <f t="shared" si="43"/>
        <v>12.31</v>
      </c>
      <c r="Q160" s="73">
        <f t="shared" si="44"/>
        <v>-23.1</v>
      </c>
      <c r="R160" s="39" t="str">
        <f t="shared" si="45"/>
        <v>52</v>
      </c>
      <c r="T160" s="77">
        <f t="shared" si="46"/>
        <v>68.5</v>
      </c>
      <c r="U160" s="155">
        <f t="shared" si="47"/>
        <v>108.5</v>
      </c>
      <c r="V160" s="39" t="str">
        <f t="shared" si="48"/>
        <v>,0x6C</v>
      </c>
      <c r="X160" s="77">
        <f t="shared" si="49"/>
        <v>68.5</v>
      </c>
      <c r="Y160" s="155">
        <f t="shared" si="50"/>
        <v>108.5</v>
      </c>
      <c r="Z160" s="39" t="str">
        <f t="shared" si="51"/>
        <v>,0x6C</v>
      </c>
      <c r="AB160" s="73">
        <f t="shared" si="52"/>
        <v>23</v>
      </c>
      <c r="AD160" s="157">
        <f t="shared" si="53"/>
        <v>0.314</v>
      </c>
      <c r="AE160" s="157">
        <f t="shared" si="54"/>
        <v>80.385000000000005</v>
      </c>
      <c r="AG160" s="63" t="str">
        <f t="shared" si="55"/>
        <v>9D</v>
      </c>
      <c r="AJ160" s="63" t="str">
        <f t="shared" si="56"/>
        <v>9D</v>
      </c>
      <c r="AM160" s="63" t="str">
        <f t="shared" si="57"/>
        <v>9D</v>
      </c>
      <c r="AP160" s="63" t="str">
        <f t="shared" si="58"/>
        <v>9D</v>
      </c>
      <c r="AS160" s="63" t="str">
        <f t="shared" si="59"/>
        <v>9D</v>
      </c>
    </row>
    <row r="161" spans="1:45">
      <c r="A161" s="35" t="str">
        <f t="shared" si="40"/>
        <v>,154</v>
      </c>
      <c r="B161" s="35">
        <v>158</v>
      </c>
      <c r="C161" s="35" t="str">
        <f t="shared" si="41"/>
        <v>9E</v>
      </c>
      <c r="D161" s="73">
        <f>ROUND(B161*((100-9.48)/255) +9.48,1)</f>
        <v>65.599999999999994</v>
      </c>
      <c r="E161" s="39" t="str">
        <f>",0x" &amp;DEC2HEX(ROUND(D161,0))</f>
        <v>,0x42</v>
      </c>
      <c r="G161" s="76">
        <f>B161*(1063)/255</f>
        <v>658.64313725490194</v>
      </c>
      <c r="H161" s="153" t="str">
        <f>"," &amp;ROUND(G161/10,0)</f>
        <v>,66</v>
      </c>
      <c r="K161" s="63">
        <v>154</v>
      </c>
      <c r="M161" s="73">
        <f t="shared" si="42"/>
        <v>1.55</v>
      </c>
      <c r="O161" s="72">
        <f t="shared" si="43"/>
        <v>12.39</v>
      </c>
      <c r="Q161" s="73">
        <f t="shared" si="44"/>
        <v>-22.8</v>
      </c>
      <c r="R161" s="39" t="str">
        <f t="shared" si="45"/>
        <v>52</v>
      </c>
      <c r="T161" s="77">
        <f t="shared" si="46"/>
        <v>69.099999999999994</v>
      </c>
      <c r="U161" s="155">
        <f t="shared" si="47"/>
        <v>109.1</v>
      </c>
      <c r="V161" s="39" t="str">
        <f t="shared" si="48"/>
        <v>,0x6D</v>
      </c>
      <c r="X161" s="77">
        <f t="shared" si="49"/>
        <v>69.099999999999994</v>
      </c>
      <c r="Y161" s="155">
        <f t="shared" si="50"/>
        <v>109.1</v>
      </c>
      <c r="Z161" s="39" t="str">
        <f t="shared" si="51"/>
        <v>,0x6D</v>
      </c>
      <c r="AB161" s="73">
        <f t="shared" si="52"/>
        <v>24</v>
      </c>
      <c r="AD161" s="157">
        <f t="shared" si="53"/>
        <v>0.316</v>
      </c>
      <c r="AE161" s="157">
        <f t="shared" si="54"/>
        <v>80.897000000000006</v>
      </c>
      <c r="AG161" s="63" t="str">
        <f t="shared" si="55"/>
        <v>9E</v>
      </c>
      <c r="AJ161" s="63" t="str">
        <f t="shared" si="56"/>
        <v>9E</v>
      </c>
      <c r="AM161" s="63" t="str">
        <f t="shared" si="57"/>
        <v>9E</v>
      </c>
      <c r="AP161" s="63" t="str">
        <f t="shared" si="58"/>
        <v>9E</v>
      </c>
      <c r="AS161" s="63" t="str">
        <f t="shared" si="59"/>
        <v>9E</v>
      </c>
    </row>
    <row r="162" spans="1:45">
      <c r="A162" s="35" t="str">
        <f t="shared" si="40"/>
        <v>,155</v>
      </c>
      <c r="B162" s="35">
        <v>159</v>
      </c>
      <c r="C162" s="35" t="str">
        <f t="shared" si="41"/>
        <v>9F</v>
      </c>
      <c r="D162" s="73">
        <f>ROUND(B162*((100-9.48)/255) +9.48,1)</f>
        <v>65.900000000000006</v>
      </c>
      <c r="E162" s="39" t="str">
        <f>",0x" &amp;DEC2HEX(ROUND(D162,0))</f>
        <v>,0x42</v>
      </c>
      <c r="G162" s="76">
        <f>B162*(1063)/255</f>
        <v>662.8117647058823</v>
      </c>
      <c r="H162" s="153" t="str">
        <f>"," &amp;ROUND(G162/10,0)</f>
        <v>,66</v>
      </c>
      <c r="K162" s="63">
        <v>155</v>
      </c>
      <c r="M162" s="73">
        <f t="shared" si="42"/>
        <v>1.56</v>
      </c>
      <c r="O162" s="72">
        <f t="shared" si="43"/>
        <v>12.47</v>
      </c>
      <c r="Q162" s="73">
        <f t="shared" si="44"/>
        <v>-22.6</v>
      </c>
      <c r="R162" s="39" t="str">
        <f t="shared" si="45"/>
        <v>53</v>
      </c>
      <c r="T162" s="77">
        <f t="shared" si="46"/>
        <v>69.8</v>
      </c>
      <c r="U162" s="155">
        <f t="shared" si="47"/>
        <v>109.8</v>
      </c>
      <c r="V162" s="39" t="str">
        <f t="shared" si="48"/>
        <v>,0x6D</v>
      </c>
      <c r="X162" s="77">
        <f t="shared" si="49"/>
        <v>69.8</v>
      </c>
      <c r="Y162" s="155">
        <f t="shared" si="50"/>
        <v>109.8</v>
      </c>
      <c r="Z162" s="39" t="str">
        <f t="shared" si="51"/>
        <v>,0x6D</v>
      </c>
      <c r="AB162" s="73">
        <f t="shared" si="52"/>
        <v>25</v>
      </c>
      <c r="AD162" s="157">
        <f t="shared" si="53"/>
        <v>0.318</v>
      </c>
      <c r="AE162" s="157">
        <f t="shared" si="54"/>
        <v>81.409000000000006</v>
      </c>
      <c r="AG162" s="63" t="str">
        <f t="shared" si="55"/>
        <v>9F</v>
      </c>
      <c r="AJ162" s="63" t="str">
        <f t="shared" si="56"/>
        <v>9F</v>
      </c>
      <c r="AM162" s="63" t="str">
        <f t="shared" si="57"/>
        <v>9F</v>
      </c>
      <c r="AP162" s="63" t="str">
        <f t="shared" si="58"/>
        <v>9F</v>
      </c>
      <c r="AS162" s="63" t="str">
        <f t="shared" si="59"/>
        <v>9F</v>
      </c>
    </row>
    <row r="163" spans="1:45">
      <c r="A163" s="35" t="str">
        <f t="shared" si="40"/>
        <v>,156</v>
      </c>
      <c r="B163" s="35">
        <v>160</v>
      </c>
      <c r="C163" s="35" t="str">
        <f t="shared" si="41"/>
        <v>A0</v>
      </c>
      <c r="D163" s="73">
        <f>ROUND(B163*((100-9.48)/255) +9.48,1)</f>
        <v>66.3</v>
      </c>
      <c r="E163" s="39" t="str">
        <f>",0x" &amp;DEC2HEX(ROUND(D163,0))</f>
        <v>,0x42</v>
      </c>
      <c r="G163" s="76">
        <f>B163*(1063)/255</f>
        <v>666.98039215686276</v>
      </c>
      <c r="H163" s="153" t="str">
        <f>"," &amp;ROUND(G163/10,0)</f>
        <v>,67</v>
      </c>
      <c r="K163" s="63">
        <v>156</v>
      </c>
      <c r="M163" s="73">
        <f t="shared" si="42"/>
        <v>1.57</v>
      </c>
      <c r="O163" s="72">
        <f t="shared" si="43"/>
        <v>12.55</v>
      </c>
      <c r="Q163" s="73">
        <f t="shared" si="44"/>
        <v>-22.4</v>
      </c>
      <c r="R163" s="39" t="str">
        <f t="shared" si="45"/>
        <v>53</v>
      </c>
      <c r="T163" s="77">
        <f t="shared" si="46"/>
        <v>70.400000000000006</v>
      </c>
      <c r="U163" s="155">
        <f t="shared" si="47"/>
        <v>110.4</v>
      </c>
      <c r="V163" s="39" t="str">
        <f t="shared" si="48"/>
        <v>,0x6E</v>
      </c>
      <c r="X163" s="77">
        <f t="shared" si="49"/>
        <v>70.400000000000006</v>
      </c>
      <c r="Y163" s="155">
        <f t="shared" si="50"/>
        <v>110.4</v>
      </c>
      <c r="Z163" s="39" t="str">
        <f t="shared" si="51"/>
        <v>,0x6E</v>
      </c>
      <c r="AB163" s="73">
        <f t="shared" si="52"/>
        <v>25</v>
      </c>
      <c r="AD163" s="157">
        <f t="shared" si="53"/>
        <v>0.32</v>
      </c>
      <c r="AE163" s="157">
        <f t="shared" si="54"/>
        <v>81.921000000000006</v>
      </c>
      <c r="AG163" s="63" t="str">
        <f t="shared" si="55"/>
        <v>A0</v>
      </c>
      <c r="AJ163" s="63" t="str">
        <f t="shared" si="56"/>
        <v>A0</v>
      </c>
      <c r="AM163" s="63" t="str">
        <f t="shared" si="57"/>
        <v>A0</v>
      </c>
      <c r="AP163" s="63" t="str">
        <f t="shared" si="58"/>
        <v>A0</v>
      </c>
      <c r="AS163" s="63" t="str">
        <f t="shared" si="59"/>
        <v>A0</v>
      </c>
    </row>
    <row r="164" spans="1:45">
      <c r="A164" s="35" t="str">
        <f t="shared" si="40"/>
        <v>,157</v>
      </c>
      <c r="B164" s="35">
        <v>161</v>
      </c>
      <c r="C164" s="35" t="str">
        <f t="shared" si="41"/>
        <v>A1</v>
      </c>
      <c r="D164" s="73">
        <f>ROUND(B164*((100-9.48)/255) +9.48,1)</f>
        <v>66.599999999999994</v>
      </c>
      <c r="E164" s="39" t="str">
        <f>",0x" &amp;DEC2HEX(ROUND(D164,0))</f>
        <v>,0x43</v>
      </c>
      <c r="G164" s="76">
        <f>B164*(1063)/255</f>
        <v>671.14901960784312</v>
      </c>
      <c r="H164" s="153" t="str">
        <f>"," &amp;ROUND(G164/10,0)</f>
        <v>,67</v>
      </c>
      <c r="K164" s="63">
        <v>157</v>
      </c>
      <c r="M164" s="73">
        <f t="shared" si="42"/>
        <v>1.58</v>
      </c>
      <c r="O164" s="72">
        <f t="shared" si="43"/>
        <v>12.63</v>
      </c>
      <c r="Q164" s="73">
        <f t="shared" si="44"/>
        <v>-22.1</v>
      </c>
      <c r="R164" s="39" t="str">
        <f t="shared" si="45"/>
        <v>54</v>
      </c>
      <c r="T164" s="77">
        <f t="shared" si="46"/>
        <v>71</v>
      </c>
      <c r="U164" s="155">
        <f t="shared" si="47"/>
        <v>111</v>
      </c>
      <c r="V164" s="39" t="str">
        <f t="shared" si="48"/>
        <v>,0x6F</v>
      </c>
      <c r="X164" s="77">
        <f t="shared" si="49"/>
        <v>71</v>
      </c>
      <c r="Y164" s="155">
        <f t="shared" si="50"/>
        <v>111</v>
      </c>
      <c r="Z164" s="39" t="str">
        <f t="shared" si="51"/>
        <v>,0x6F</v>
      </c>
      <c r="AB164" s="73">
        <f t="shared" si="52"/>
        <v>26</v>
      </c>
      <c r="AD164" s="157">
        <f t="shared" si="53"/>
        <v>0.32200000000000001</v>
      </c>
      <c r="AE164" s="157">
        <f t="shared" si="54"/>
        <v>82.433000000000007</v>
      </c>
      <c r="AG164" s="63" t="str">
        <f t="shared" si="55"/>
        <v>A1</v>
      </c>
      <c r="AJ164" s="63" t="str">
        <f t="shared" si="56"/>
        <v>A1</v>
      </c>
      <c r="AM164" s="63" t="str">
        <f t="shared" si="57"/>
        <v>A1</v>
      </c>
      <c r="AP164" s="63" t="str">
        <f t="shared" si="58"/>
        <v>A1</v>
      </c>
      <c r="AS164" s="63" t="str">
        <f t="shared" si="59"/>
        <v>A1</v>
      </c>
    </row>
    <row r="165" spans="1:45">
      <c r="A165" s="35" t="str">
        <f t="shared" si="40"/>
        <v>,158</v>
      </c>
      <c r="B165" s="35">
        <v>162</v>
      </c>
      <c r="C165" s="35" t="str">
        <f t="shared" si="41"/>
        <v>A2</v>
      </c>
      <c r="D165" s="73">
        <f>ROUND(B165*((100-9.48)/255) +9.48,1)</f>
        <v>67</v>
      </c>
      <c r="E165" s="39" t="str">
        <f>",0x" &amp;DEC2HEX(ROUND(D165,0))</f>
        <v>,0x43</v>
      </c>
      <c r="G165" s="76">
        <f>B165*(1063)/255</f>
        <v>675.31764705882358</v>
      </c>
      <c r="H165" s="153" t="str">
        <f>"," &amp;ROUND(G165/10,0)</f>
        <v>,68</v>
      </c>
      <c r="K165" s="63">
        <v>158</v>
      </c>
      <c r="M165" s="73">
        <f t="shared" si="42"/>
        <v>1.59</v>
      </c>
      <c r="O165" s="72">
        <f t="shared" si="43"/>
        <v>12.71</v>
      </c>
      <c r="Q165" s="73">
        <f t="shared" si="44"/>
        <v>-21.9</v>
      </c>
      <c r="R165" s="39" t="str">
        <f t="shared" si="45"/>
        <v>54</v>
      </c>
      <c r="T165" s="77">
        <f t="shared" si="46"/>
        <v>71.599999999999994</v>
      </c>
      <c r="U165" s="155">
        <f t="shared" si="47"/>
        <v>111.6</v>
      </c>
      <c r="V165" s="39" t="str">
        <f t="shared" si="48"/>
        <v>,0x6F</v>
      </c>
      <c r="X165" s="77">
        <f t="shared" si="49"/>
        <v>71.599999999999994</v>
      </c>
      <c r="Y165" s="155">
        <f t="shared" si="50"/>
        <v>111.6</v>
      </c>
      <c r="Z165" s="39" t="str">
        <f t="shared" si="51"/>
        <v>,0x6F</v>
      </c>
      <c r="AB165" s="73">
        <f t="shared" si="52"/>
        <v>27</v>
      </c>
      <c r="AD165" s="157">
        <f t="shared" si="53"/>
        <v>0.32400000000000001</v>
      </c>
      <c r="AE165" s="157">
        <f t="shared" si="54"/>
        <v>82.944999999999993</v>
      </c>
      <c r="AG165" s="63" t="str">
        <f t="shared" si="55"/>
        <v>A2</v>
      </c>
      <c r="AJ165" s="63" t="str">
        <f t="shared" si="56"/>
        <v>A2</v>
      </c>
      <c r="AM165" s="63" t="str">
        <f t="shared" si="57"/>
        <v>A2</v>
      </c>
      <c r="AP165" s="63" t="str">
        <f t="shared" si="58"/>
        <v>A2</v>
      </c>
      <c r="AS165" s="63" t="str">
        <f t="shared" si="59"/>
        <v>A2</v>
      </c>
    </row>
    <row r="166" spans="1:45">
      <c r="A166" s="35" t="str">
        <f t="shared" si="40"/>
        <v>,159</v>
      </c>
      <c r="B166" s="35">
        <v>163</v>
      </c>
      <c r="C166" s="35" t="str">
        <f t="shared" si="41"/>
        <v>A3</v>
      </c>
      <c r="D166" s="73">
        <f>ROUND(B166*((100-9.48)/255) +9.48,1)</f>
        <v>67.3</v>
      </c>
      <c r="E166" s="39" t="str">
        <f>",0x" &amp;DEC2HEX(ROUND(D166,0))</f>
        <v>,0x43</v>
      </c>
      <c r="G166" s="76">
        <f>B166*(1063)/255</f>
        <v>679.48627450980393</v>
      </c>
      <c r="H166" s="153" t="str">
        <f>"," &amp;ROUND(G166/10,0)</f>
        <v>,68</v>
      </c>
      <c r="K166" s="63">
        <v>159</v>
      </c>
      <c r="M166" s="73">
        <f t="shared" si="42"/>
        <v>1.6</v>
      </c>
      <c r="O166" s="72">
        <f t="shared" si="43"/>
        <v>12.78</v>
      </c>
      <c r="Q166" s="73">
        <f t="shared" si="44"/>
        <v>-21.6</v>
      </c>
      <c r="R166" s="39" t="str">
        <f t="shared" si="45"/>
        <v>55</v>
      </c>
      <c r="T166" s="77">
        <f t="shared" si="46"/>
        <v>72.3</v>
      </c>
      <c r="U166" s="155">
        <f t="shared" si="47"/>
        <v>112.3</v>
      </c>
      <c r="V166" s="39" t="str">
        <f t="shared" si="48"/>
        <v>,0x70</v>
      </c>
      <c r="X166" s="77">
        <f t="shared" si="49"/>
        <v>72.3</v>
      </c>
      <c r="Y166" s="155">
        <f t="shared" si="50"/>
        <v>112.3</v>
      </c>
      <c r="Z166" s="39" t="str">
        <f t="shared" si="51"/>
        <v>,0x70</v>
      </c>
      <c r="AB166" s="73">
        <f t="shared" si="52"/>
        <v>28</v>
      </c>
      <c r="AD166" s="157">
        <f t="shared" si="53"/>
        <v>0.32600000000000001</v>
      </c>
      <c r="AE166" s="157">
        <f t="shared" si="54"/>
        <v>83.456999999999994</v>
      </c>
      <c r="AG166" s="63" t="str">
        <f t="shared" si="55"/>
        <v>A3</v>
      </c>
      <c r="AJ166" s="63" t="str">
        <f t="shared" si="56"/>
        <v>A3</v>
      </c>
      <c r="AM166" s="63" t="str">
        <f t="shared" si="57"/>
        <v>A3</v>
      </c>
      <c r="AP166" s="63" t="str">
        <f t="shared" si="58"/>
        <v>A3</v>
      </c>
      <c r="AS166" s="63" t="str">
        <f t="shared" si="59"/>
        <v>A3</v>
      </c>
    </row>
    <row r="167" spans="1:45">
      <c r="A167" s="35" t="str">
        <f t="shared" si="40"/>
        <v>,160</v>
      </c>
      <c r="B167" s="35">
        <v>164</v>
      </c>
      <c r="C167" s="35" t="str">
        <f t="shared" si="41"/>
        <v>A4</v>
      </c>
      <c r="D167" s="73">
        <f>ROUND(B167*((100-9.48)/255) +9.48,1)</f>
        <v>67.7</v>
      </c>
      <c r="E167" s="39" t="str">
        <f>",0x" &amp;DEC2HEX(ROUND(D167,0))</f>
        <v>,0x44</v>
      </c>
      <c r="G167" s="76">
        <f>B167*(1063)/255</f>
        <v>683.65490196078429</v>
      </c>
      <c r="H167" s="153" t="str">
        <f>"," &amp;ROUND(G167/10,0)</f>
        <v>,68</v>
      </c>
      <c r="K167" s="63">
        <v>160</v>
      </c>
      <c r="M167" s="73">
        <f t="shared" si="42"/>
        <v>1.61</v>
      </c>
      <c r="O167" s="72">
        <f t="shared" si="43"/>
        <v>12.86</v>
      </c>
      <c r="Q167" s="73">
        <f t="shared" si="44"/>
        <v>-21.4</v>
      </c>
      <c r="R167" s="39" t="str">
        <f t="shared" si="45"/>
        <v>55</v>
      </c>
      <c r="T167" s="77">
        <f t="shared" si="46"/>
        <v>72.900000000000006</v>
      </c>
      <c r="U167" s="155">
        <f t="shared" si="47"/>
        <v>112.9</v>
      </c>
      <c r="V167" s="39" t="str">
        <f t="shared" si="48"/>
        <v>,0x70</v>
      </c>
      <c r="X167" s="77">
        <f t="shared" si="49"/>
        <v>72.900000000000006</v>
      </c>
      <c r="Y167" s="155">
        <f t="shared" si="50"/>
        <v>112.9</v>
      </c>
      <c r="Z167" s="39" t="str">
        <f t="shared" si="51"/>
        <v>,0x70</v>
      </c>
      <c r="AB167" s="73">
        <f t="shared" si="52"/>
        <v>29</v>
      </c>
      <c r="AD167" s="157">
        <f t="shared" si="53"/>
        <v>0.32800000000000001</v>
      </c>
      <c r="AE167" s="157">
        <f t="shared" si="54"/>
        <v>83.968999999999994</v>
      </c>
      <c r="AG167" s="63" t="str">
        <f t="shared" si="55"/>
        <v>A4</v>
      </c>
      <c r="AJ167" s="63" t="str">
        <f t="shared" si="56"/>
        <v>A4</v>
      </c>
      <c r="AM167" s="63" t="str">
        <f t="shared" si="57"/>
        <v>A4</v>
      </c>
      <c r="AP167" s="63" t="str">
        <f t="shared" si="58"/>
        <v>A4</v>
      </c>
      <c r="AS167" s="63" t="str">
        <f t="shared" si="59"/>
        <v>A4</v>
      </c>
    </row>
    <row r="168" spans="1:45">
      <c r="A168" s="35" t="str">
        <f t="shared" si="40"/>
        <v>,161</v>
      </c>
      <c r="B168" s="35">
        <v>165</v>
      </c>
      <c r="C168" s="35" t="str">
        <f t="shared" si="41"/>
        <v>A5</v>
      </c>
      <c r="D168" s="73">
        <f>ROUND(B168*((100-9.48)/255) +9.48,1)</f>
        <v>68.099999999999994</v>
      </c>
      <c r="E168" s="39" t="str">
        <f>",0x" &amp;DEC2HEX(ROUND(D168,0))</f>
        <v>,0x44</v>
      </c>
      <c r="G168" s="76">
        <f>B168*(1063)/255</f>
        <v>687.82352941176475</v>
      </c>
      <c r="H168" s="153" t="str">
        <f>"," &amp;ROUND(G168/10,0)</f>
        <v>,69</v>
      </c>
      <c r="K168" s="63">
        <v>161</v>
      </c>
      <c r="M168" s="73">
        <f t="shared" si="42"/>
        <v>1.62</v>
      </c>
      <c r="O168" s="72">
        <f t="shared" si="43"/>
        <v>12.94</v>
      </c>
      <c r="Q168" s="73">
        <f t="shared" si="44"/>
        <v>-21.2</v>
      </c>
      <c r="R168" s="39" t="str">
        <f t="shared" si="45"/>
        <v>56</v>
      </c>
      <c r="T168" s="77">
        <f t="shared" si="46"/>
        <v>73.5</v>
      </c>
      <c r="U168" s="155">
        <f t="shared" si="47"/>
        <v>113.5</v>
      </c>
      <c r="V168" s="39" t="str">
        <f t="shared" si="48"/>
        <v>,0x71</v>
      </c>
      <c r="X168" s="77">
        <f t="shared" si="49"/>
        <v>73.5</v>
      </c>
      <c r="Y168" s="155">
        <f t="shared" si="50"/>
        <v>113.5</v>
      </c>
      <c r="Z168" s="39" t="str">
        <f t="shared" si="51"/>
        <v>,0x71</v>
      </c>
      <c r="AB168" s="73">
        <f t="shared" si="52"/>
        <v>29</v>
      </c>
      <c r="AD168" s="157">
        <f t="shared" si="53"/>
        <v>0.33</v>
      </c>
      <c r="AE168" s="157">
        <f t="shared" si="54"/>
        <v>84.480999999999995</v>
      </c>
      <c r="AG168" s="63" t="str">
        <f t="shared" si="55"/>
        <v>A5</v>
      </c>
      <c r="AJ168" s="63" t="str">
        <f t="shared" si="56"/>
        <v>A5</v>
      </c>
      <c r="AM168" s="63" t="str">
        <f t="shared" si="57"/>
        <v>A5</v>
      </c>
      <c r="AP168" s="63" t="str">
        <f t="shared" si="58"/>
        <v>A5</v>
      </c>
      <c r="AS168" s="63" t="str">
        <f t="shared" si="59"/>
        <v>A5</v>
      </c>
    </row>
    <row r="169" spans="1:45">
      <c r="A169" s="35" t="str">
        <f t="shared" si="40"/>
        <v>,162</v>
      </c>
      <c r="B169" s="35">
        <v>166</v>
      </c>
      <c r="C169" s="35" t="str">
        <f t="shared" si="41"/>
        <v>A6</v>
      </c>
      <c r="D169" s="73">
        <f>ROUND(B169*((100-9.48)/255) +9.48,1)</f>
        <v>68.400000000000006</v>
      </c>
      <c r="E169" s="39" t="str">
        <f>",0x" &amp;DEC2HEX(ROUND(D169,0))</f>
        <v>,0x44</v>
      </c>
      <c r="G169" s="76">
        <f>B169*(1063)/255</f>
        <v>691.99215686274511</v>
      </c>
      <c r="H169" s="153" t="str">
        <f>"," &amp;ROUND(G169/10,0)</f>
        <v>,69</v>
      </c>
      <c r="K169" s="63">
        <v>162</v>
      </c>
      <c r="M169" s="73">
        <f t="shared" si="42"/>
        <v>1.63</v>
      </c>
      <c r="O169" s="72">
        <f t="shared" si="43"/>
        <v>13.02</v>
      </c>
      <c r="Q169" s="73">
        <f t="shared" si="44"/>
        <v>-20.9</v>
      </c>
      <c r="R169" s="39" t="str">
        <f t="shared" si="45"/>
        <v>56</v>
      </c>
      <c r="T169" s="77">
        <f t="shared" si="46"/>
        <v>74.2</v>
      </c>
      <c r="U169" s="155">
        <f t="shared" si="47"/>
        <v>114.2</v>
      </c>
      <c r="V169" s="39" t="str">
        <f t="shared" si="48"/>
        <v>,0x72</v>
      </c>
      <c r="X169" s="77">
        <f t="shared" si="49"/>
        <v>74.2</v>
      </c>
      <c r="Y169" s="155">
        <f t="shared" si="50"/>
        <v>114.2</v>
      </c>
      <c r="Z169" s="39" t="str">
        <f t="shared" si="51"/>
        <v>,0x72</v>
      </c>
      <c r="AB169" s="73">
        <f t="shared" si="52"/>
        <v>30</v>
      </c>
      <c r="AD169" s="157">
        <f t="shared" si="53"/>
        <v>0.33200000000000002</v>
      </c>
      <c r="AE169" s="157">
        <f t="shared" si="54"/>
        <v>84.992999999999995</v>
      </c>
      <c r="AG169" s="63" t="str">
        <f t="shared" si="55"/>
        <v>A6</v>
      </c>
      <c r="AJ169" s="63" t="str">
        <f t="shared" si="56"/>
        <v>A6</v>
      </c>
      <c r="AM169" s="63" t="str">
        <f t="shared" si="57"/>
        <v>A6</v>
      </c>
      <c r="AP169" s="63" t="str">
        <f t="shared" si="58"/>
        <v>A6</v>
      </c>
      <c r="AS169" s="63" t="str">
        <f t="shared" si="59"/>
        <v>A6</v>
      </c>
    </row>
    <row r="170" spans="1:45">
      <c r="A170" s="35" t="str">
        <f t="shared" si="40"/>
        <v>,163</v>
      </c>
      <c r="B170" s="35">
        <v>167</v>
      </c>
      <c r="C170" s="35" t="str">
        <f t="shared" si="41"/>
        <v>A7</v>
      </c>
      <c r="D170" s="73">
        <f>ROUND(B170*((100-9.48)/255) +9.48,1)</f>
        <v>68.8</v>
      </c>
      <c r="E170" s="39" t="str">
        <f>",0x" &amp;DEC2HEX(ROUND(D170,0))</f>
        <v>,0x45</v>
      </c>
      <c r="G170" s="76">
        <f>B170*(1063)/255</f>
        <v>696.16078431372546</v>
      </c>
      <c r="H170" s="153" t="str">
        <f>"," &amp;ROUND(G170/10,0)</f>
        <v>,70</v>
      </c>
      <c r="K170" s="63">
        <v>163</v>
      </c>
      <c r="M170" s="73">
        <f t="shared" si="42"/>
        <v>1.64</v>
      </c>
      <c r="O170" s="72">
        <f t="shared" si="43"/>
        <v>13.1</v>
      </c>
      <c r="Q170" s="73">
        <f t="shared" si="44"/>
        <v>-20.7</v>
      </c>
      <c r="R170" s="39" t="str">
        <f t="shared" si="45"/>
        <v>57</v>
      </c>
      <c r="T170" s="77">
        <f t="shared" si="46"/>
        <v>74.8</v>
      </c>
      <c r="U170" s="155">
        <f t="shared" si="47"/>
        <v>114.8</v>
      </c>
      <c r="V170" s="39" t="str">
        <f t="shared" si="48"/>
        <v>,0x72</v>
      </c>
      <c r="X170" s="77">
        <f t="shared" si="49"/>
        <v>74.8</v>
      </c>
      <c r="Y170" s="155">
        <f t="shared" si="50"/>
        <v>114.8</v>
      </c>
      <c r="Z170" s="39" t="str">
        <f t="shared" si="51"/>
        <v>,0x72</v>
      </c>
      <c r="AB170" s="73">
        <f t="shared" si="52"/>
        <v>31</v>
      </c>
      <c r="AD170" s="157">
        <f t="shared" si="53"/>
        <v>0.33400000000000002</v>
      </c>
      <c r="AE170" s="157">
        <f t="shared" si="54"/>
        <v>85.504999999999995</v>
      </c>
      <c r="AG170" s="63" t="str">
        <f t="shared" si="55"/>
        <v>A7</v>
      </c>
      <c r="AJ170" s="63" t="str">
        <f t="shared" si="56"/>
        <v>A7</v>
      </c>
      <c r="AM170" s="63" t="str">
        <f t="shared" si="57"/>
        <v>A7</v>
      </c>
      <c r="AP170" s="63" t="str">
        <f t="shared" si="58"/>
        <v>A7</v>
      </c>
      <c r="AS170" s="63" t="str">
        <f t="shared" si="59"/>
        <v>A7</v>
      </c>
    </row>
    <row r="171" spans="1:45">
      <c r="A171" s="35" t="str">
        <f t="shared" si="40"/>
        <v>,164</v>
      </c>
      <c r="B171" s="35">
        <v>168</v>
      </c>
      <c r="C171" s="35" t="str">
        <f t="shared" si="41"/>
        <v>A8</v>
      </c>
      <c r="D171" s="73">
        <f>ROUND(B171*((100-9.48)/255) +9.48,1)</f>
        <v>69.099999999999994</v>
      </c>
      <c r="E171" s="39" t="str">
        <f>",0x" &amp;DEC2HEX(ROUND(D171,0))</f>
        <v>,0x45</v>
      </c>
      <c r="G171" s="76">
        <f>B171*(1063)/255</f>
        <v>700.32941176470592</v>
      </c>
      <c r="H171" s="153" t="str">
        <f>"," &amp;ROUND(G171/10,0)</f>
        <v>,70</v>
      </c>
      <c r="K171" s="63">
        <v>164</v>
      </c>
      <c r="M171" s="73">
        <f t="shared" si="42"/>
        <v>1.65</v>
      </c>
      <c r="O171" s="72">
        <f t="shared" si="43"/>
        <v>13.18</v>
      </c>
      <c r="Q171" s="73">
        <f t="shared" si="44"/>
        <v>-20.5</v>
      </c>
      <c r="R171" s="39" t="str">
        <f t="shared" si="45"/>
        <v>57</v>
      </c>
      <c r="T171" s="77">
        <f t="shared" si="46"/>
        <v>75.400000000000006</v>
      </c>
      <c r="U171" s="155">
        <f t="shared" si="47"/>
        <v>115.4</v>
      </c>
      <c r="V171" s="39" t="str">
        <f t="shared" si="48"/>
        <v>,0x73</v>
      </c>
      <c r="X171" s="77">
        <f t="shared" si="49"/>
        <v>75.400000000000006</v>
      </c>
      <c r="Y171" s="155">
        <f t="shared" si="50"/>
        <v>115.4</v>
      </c>
      <c r="Z171" s="39" t="str">
        <f t="shared" si="51"/>
        <v>,0x73</v>
      </c>
      <c r="AB171" s="73">
        <f t="shared" si="52"/>
        <v>32</v>
      </c>
      <c r="AD171" s="157">
        <f t="shared" si="53"/>
        <v>0.33600000000000002</v>
      </c>
      <c r="AE171" s="157">
        <f t="shared" si="54"/>
        <v>86.016999999999996</v>
      </c>
      <c r="AG171" s="63" t="str">
        <f t="shared" si="55"/>
        <v>A8</v>
      </c>
      <c r="AJ171" s="63" t="str">
        <f t="shared" si="56"/>
        <v>A8</v>
      </c>
      <c r="AM171" s="63" t="str">
        <f t="shared" si="57"/>
        <v>A8</v>
      </c>
      <c r="AP171" s="63" t="str">
        <f t="shared" si="58"/>
        <v>A8</v>
      </c>
      <c r="AS171" s="63" t="str">
        <f t="shared" si="59"/>
        <v>A8</v>
      </c>
    </row>
    <row r="172" spans="1:45">
      <c r="A172" s="35" t="str">
        <f t="shared" si="40"/>
        <v>,165</v>
      </c>
      <c r="B172" s="35">
        <v>169</v>
      </c>
      <c r="C172" s="35" t="str">
        <f t="shared" si="41"/>
        <v>A9</v>
      </c>
      <c r="D172" s="73">
        <f>ROUND(B172*((100-9.48)/255) +9.48,1)</f>
        <v>69.5</v>
      </c>
      <c r="E172" s="39" t="str">
        <f>",0x" &amp;DEC2HEX(ROUND(D172,0))</f>
        <v>,0x46</v>
      </c>
      <c r="G172" s="76">
        <f>B172*(1063)/255</f>
        <v>704.49803921568628</v>
      </c>
      <c r="H172" s="153" t="str">
        <f>"," &amp;ROUND(G172/10,0)</f>
        <v>,70</v>
      </c>
      <c r="K172" s="63">
        <v>165</v>
      </c>
      <c r="M172" s="73">
        <f t="shared" si="42"/>
        <v>1.66</v>
      </c>
      <c r="O172" s="72">
        <f t="shared" si="43"/>
        <v>13.25</v>
      </c>
      <c r="Q172" s="73">
        <f t="shared" si="44"/>
        <v>-20.2</v>
      </c>
      <c r="R172" s="39" t="str">
        <f t="shared" si="45"/>
        <v>58</v>
      </c>
      <c r="T172" s="77">
        <f t="shared" si="46"/>
        <v>76</v>
      </c>
      <c r="U172" s="155">
        <f t="shared" si="47"/>
        <v>116</v>
      </c>
      <c r="V172" s="39" t="str">
        <f t="shared" si="48"/>
        <v>,0x74</v>
      </c>
      <c r="X172" s="77">
        <f t="shared" si="49"/>
        <v>76</v>
      </c>
      <c r="Y172" s="155">
        <f t="shared" si="50"/>
        <v>116</v>
      </c>
      <c r="Z172" s="39" t="str">
        <f t="shared" si="51"/>
        <v>,0x74</v>
      </c>
      <c r="AB172" s="73">
        <f t="shared" si="52"/>
        <v>33</v>
      </c>
      <c r="AD172" s="157">
        <f t="shared" si="53"/>
        <v>0.33800000000000002</v>
      </c>
      <c r="AE172" s="157">
        <f t="shared" si="54"/>
        <v>86.528999999999996</v>
      </c>
      <c r="AG172" s="63" t="str">
        <f t="shared" si="55"/>
        <v>A9</v>
      </c>
      <c r="AJ172" s="63" t="str">
        <f t="shared" si="56"/>
        <v>A9</v>
      </c>
      <c r="AM172" s="63" t="str">
        <f t="shared" si="57"/>
        <v>A9</v>
      </c>
      <c r="AP172" s="63" t="str">
        <f t="shared" si="58"/>
        <v>A9</v>
      </c>
      <c r="AS172" s="63" t="str">
        <f t="shared" si="59"/>
        <v>A9</v>
      </c>
    </row>
    <row r="173" spans="1:45">
      <c r="A173" s="35" t="str">
        <f t="shared" si="40"/>
        <v>,166</v>
      </c>
      <c r="B173" s="35">
        <v>170</v>
      </c>
      <c r="C173" s="35" t="str">
        <f t="shared" si="41"/>
        <v>AA</v>
      </c>
      <c r="D173" s="73">
        <f>ROUND(B173*((100-9.48)/255) +9.48,1)</f>
        <v>69.8</v>
      </c>
      <c r="E173" s="39" t="str">
        <f>",0x" &amp;DEC2HEX(ROUND(D173,0))</f>
        <v>,0x46</v>
      </c>
      <c r="G173" s="76">
        <f>B173*(1063)/255</f>
        <v>708.66666666666663</v>
      </c>
      <c r="H173" s="153" t="str">
        <f>"," &amp;ROUND(G173/10,0)</f>
        <v>,71</v>
      </c>
      <c r="K173" s="63">
        <v>166</v>
      </c>
      <c r="M173" s="73">
        <f t="shared" si="42"/>
        <v>1.67</v>
      </c>
      <c r="O173" s="72">
        <f t="shared" si="43"/>
        <v>13.33</v>
      </c>
      <c r="Q173" s="73">
        <f t="shared" si="44"/>
        <v>-20</v>
      </c>
      <c r="R173" s="39" t="str">
        <f t="shared" si="45"/>
        <v>58</v>
      </c>
      <c r="T173" s="77">
        <f t="shared" si="46"/>
        <v>76.7</v>
      </c>
      <c r="U173" s="155">
        <f t="shared" si="47"/>
        <v>116.7</v>
      </c>
      <c r="V173" s="39" t="str">
        <f t="shared" si="48"/>
        <v>,0x74</v>
      </c>
      <c r="X173" s="77">
        <f t="shared" si="49"/>
        <v>76.7</v>
      </c>
      <c r="Y173" s="155">
        <f t="shared" si="50"/>
        <v>116.7</v>
      </c>
      <c r="Z173" s="39" t="str">
        <f t="shared" si="51"/>
        <v>,0x74</v>
      </c>
      <c r="AB173" s="73">
        <f t="shared" si="52"/>
        <v>33</v>
      </c>
      <c r="AD173" s="157">
        <f t="shared" si="53"/>
        <v>0.34</v>
      </c>
      <c r="AE173" s="157">
        <f t="shared" si="54"/>
        <v>87.040999999999997</v>
      </c>
      <c r="AG173" s="63" t="str">
        <f t="shared" si="55"/>
        <v>AA</v>
      </c>
      <c r="AJ173" s="63" t="str">
        <f t="shared" si="56"/>
        <v>AA</v>
      </c>
      <c r="AM173" s="63" t="str">
        <f t="shared" si="57"/>
        <v>AA</v>
      </c>
      <c r="AP173" s="63" t="str">
        <f t="shared" si="58"/>
        <v>AA</v>
      </c>
      <c r="AS173" s="63" t="str">
        <f t="shared" si="59"/>
        <v>AA</v>
      </c>
    </row>
    <row r="174" spans="1:45">
      <c r="A174" s="35" t="str">
        <f t="shared" si="40"/>
        <v>,167</v>
      </c>
      <c r="B174" s="35">
        <v>171</v>
      </c>
      <c r="C174" s="35" t="str">
        <f t="shared" si="41"/>
        <v>AB</v>
      </c>
      <c r="D174" s="73">
        <f>ROUND(B174*((100-9.48)/255) +9.48,1)</f>
        <v>70.2</v>
      </c>
      <c r="E174" s="39" t="str">
        <f>",0x" &amp;DEC2HEX(ROUND(D174,0))</f>
        <v>,0x46</v>
      </c>
      <c r="G174" s="76">
        <f>B174*(1063)/255</f>
        <v>712.83529411764709</v>
      </c>
      <c r="H174" s="153" t="str">
        <f>"," &amp;ROUND(G174/10,0)</f>
        <v>,71</v>
      </c>
      <c r="K174" s="63">
        <v>167</v>
      </c>
      <c r="M174" s="73">
        <f t="shared" si="42"/>
        <v>1.68</v>
      </c>
      <c r="O174" s="72">
        <f t="shared" si="43"/>
        <v>13.41</v>
      </c>
      <c r="Q174" s="73">
        <f t="shared" si="44"/>
        <v>-19.8</v>
      </c>
      <c r="R174" s="39" t="str">
        <f t="shared" si="45"/>
        <v>58</v>
      </c>
      <c r="T174" s="77">
        <f t="shared" si="46"/>
        <v>77.3</v>
      </c>
      <c r="U174" s="155">
        <f t="shared" si="47"/>
        <v>117.3</v>
      </c>
      <c r="V174" s="39" t="str">
        <f t="shared" si="48"/>
        <v>,0x75</v>
      </c>
      <c r="X174" s="77">
        <f t="shared" si="49"/>
        <v>77.3</v>
      </c>
      <c r="Y174" s="155">
        <f t="shared" si="50"/>
        <v>117.3</v>
      </c>
      <c r="Z174" s="39" t="str">
        <f t="shared" si="51"/>
        <v>,0x75</v>
      </c>
      <c r="AB174" s="73">
        <f t="shared" si="52"/>
        <v>34</v>
      </c>
      <c r="AD174" s="157">
        <f t="shared" si="53"/>
        <v>0.34200000000000003</v>
      </c>
      <c r="AE174" s="157">
        <f t="shared" si="54"/>
        <v>87.552999999999997</v>
      </c>
      <c r="AG174" s="63" t="str">
        <f t="shared" si="55"/>
        <v>AB</v>
      </c>
      <c r="AJ174" s="63" t="str">
        <f t="shared" si="56"/>
        <v>AB</v>
      </c>
      <c r="AM174" s="63" t="str">
        <f t="shared" si="57"/>
        <v>AB</v>
      </c>
      <c r="AP174" s="63" t="str">
        <f t="shared" si="58"/>
        <v>AB</v>
      </c>
      <c r="AS174" s="63" t="str">
        <f t="shared" si="59"/>
        <v>AB</v>
      </c>
    </row>
    <row r="175" spans="1:45">
      <c r="A175" s="35" t="str">
        <f t="shared" si="40"/>
        <v>,168</v>
      </c>
      <c r="B175" s="35">
        <v>172</v>
      </c>
      <c r="C175" s="35" t="str">
        <f t="shared" si="41"/>
        <v>AC</v>
      </c>
      <c r="D175" s="73">
        <f>ROUND(B175*((100-9.48)/255) +9.48,1)</f>
        <v>70.5</v>
      </c>
      <c r="E175" s="39" t="str">
        <f>",0x" &amp;DEC2HEX(ROUND(D175,0))</f>
        <v>,0x47</v>
      </c>
      <c r="G175" s="76">
        <f>B175*(1063)/255</f>
        <v>717.00392156862745</v>
      </c>
      <c r="H175" s="153" t="str">
        <f>"," &amp;ROUND(G175/10,0)</f>
        <v>,72</v>
      </c>
      <c r="K175" s="63">
        <v>168</v>
      </c>
      <c r="M175" s="73">
        <f t="shared" si="42"/>
        <v>1.69</v>
      </c>
      <c r="O175" s="72">
        <f t="shared" si="43"/>
        <v>13.49</v>
      </c>
      <c r="Q175" s="73">
        <f t="shared" si="44"/>
        <v>-19.5</v>
      </c>
      <c r="R175" s="39" t="str">
        <f t="shared" si="45"/>
        <v>59</v>
      </c>
      <c r="T175" s="77">
        <f t="shared" si="46"/>
        <v>77.900000000000006</v>
      </c>
      <c r="U175" s="155">
        <f t="shared" si="47"/>
        <v>117.9</v>
      </c>
      <c r="V175" s="39" t="str">
        <f t="shared" si="48"/>
        <v>,0x75</v>
      </c>
      <c r="X175" s="77">
        <f t="shared" si="49"/>
        <v>77.900000000000006</v>
      </c>
      <c r="Y175" s="155">
        <f t="shared" si="50"/>
        <v>117.9</v>
      </c>
      <c r="Z175" s="39" t="str">
        <f t="shared" si="51"/>
        <v>,0x75</v>
      </c>
      <c r="AB175" s="73">
        <f t="shared" si="52"/>
        <v>35</v>
      </c>
      <c r="AD175" s="157">
        <f t="shared" si="53"/>
        <v>0.34399999999999997</v>
      </c>
      <c r="AE175" s="157">
        <f t="shared" si="54"/>
        <v>88.064999999999998</v>
      </c>
      <c r="AG175" s="63" t="str">
        <f t="shared" si="55"/>
        <v>AC</v>
      </c>
      <c r="AJ175" s="63" t="str">
        <f t="shared" si="56"/>
        <v>AC</v>
      </c>
      <c r="AM175" s="63" t="str">
        <f t="shared" si="57"/>
        <v>AC</v>
      </c>
      <c r="AP175" s="63" t="str">
        <f t="shared" si="58"/>
        <v>AC</v>
      </c>
      <c r="AS175" s="63" t="str">
        <f t="shared" si="59"/>
        <v>AC</v>
      </c>
    </row>
    <row r="176" spans="1:45">
      <c r="A176" s="35" t="str">
        <f t="shared" si="40"/>
        <v>,169</v>
      </c>
      <c r="B176" s="35">
        <v>173</v>
      </c>
      <c r="C176" s="35" t="str">
        <f t="shared" si="41"/>
        <v>AD</v>
      </c>
      <c r="D176" s="73">
        <f>ROUND(B176*((100-9.48)/255) +9.48,1)</f>
        <v>70.900000000000006</v>
      </c>
      <c r="E176" s="39" t="str">
        <f>",0x" &amp;DEC2HEX(ROUND(D176,0))</f>
        <v>,0x47</v>
      </c>
      <c r="G176" s="76">
        <f>B176*(1063)/255</f>
        <v>721.1725490196078</v>
      </c>
      <c r="H176" s="153" t="str">
        <f>"," &amp;ROUND(G176/10,0)</f>
        <v>,72</v>
      </c>
      <c r="K176" s="63">
        <v>169</v>
      </c>
      <c r="M176" s="73">
        <f t="shared" si="42"/>
        <v>1.7</v>
      </c>
      <c r="O176" s="72">
        <f t="shared" si="43"/>
        <v>13.57</v>
      </c>
      <c r="Q176" s="73">
        <f t="shared" si="44"/>
        <v>-19.3</v>
      </c>
      <c r="R176" s="39" t="str">
        <f t="shared" si="45"/>
        <v>59</v>
      </c>
      <c r="T176" s="77">
        <f t="shared" si="46"/>
        <v>78.5</v>
      </c>
      <c r="U176" s="155">
        <f t="shared" si="47"/>
        <v>118.5</v>
      </c>
      <c r="V176" s="39" t="str">
        <f t="shared" si="48"/>
        <v>,0x76</v>
      </c>
      <c r="X176" s="77">
        <f t="shared" si="49"/>
        <v>78.5</v>
      </c>
      <c r="Y176" s="155">
        <f t="shared" si="50"/>
        <v>118.5</v>
      </c>
      <c r="Z176" s="39" t="str">
        <f t="shared" si="51"/>
        <v>,0x76</v>
      </c>
      <c r="AB176" s="73">
        <f t="shared" si="52"/>
        <v>36</v>
      </c>
      <c r="AD176" s="157">
        <f t="shared" si="53"/>
        <v>0.34599999999999997</v>
      </c>
      <c r="AE176" s="157">
        <f t="shared" si="54"/>
        <v>88.576999999999998</v>
      </c>
      <c r="AG176" s="63" t="str">
        <f t="shared" si="55"/>
        <v>AD</v>
      </c>
      <c r="AJ176" s="63" t="str">
        <f t="shared" si="56"/>
        <v>AD</v>
      </c>
      <c r="AM176" s="63" t="str">
        <f t="shared" si="57"/>
        <v>AD</v>
      </c>
      <c r="AP176" s="63" t="str">
        <f t="shared" si="58"/>
        <v>AD</v>
      </c>
      <c r="AS176" s="63" t="str">
        <f t="shared" si="59"/>
        <v>AD</v>
      </c>
    </row>
    <row r="177" spans="1:45">
      <c r="A177" s="35" t="str">
        <f t="shared" si="40"/>
        <v>,170</v>
      </c>
      <c r="B177" s="35">
        <v>174</v>
      </c>
      <c r="C177" s="35" t="str">
        <f t="shared" si="41"/>
        <v>AE</v>
      </c>
      <c r="D177" s="73">
        <f>ROUND(B177*((100-9.48)/255) +9.48,1)</f>
        <v>71.2</v>
      </c>
      <c r="E177" s="39" t="str">
        <f>",0x" &amp;DEC2HEX(ROUND(D177,0))</f>
        <v>,0x47</v>
      </c>
      <c r="G177" s="76">
        <f>B177*(1063)/255</f>
        <v>725.34117647058827</v>
      </c>
      <c r="H177" s="153" t="str">
        <f>"," &amp;ROUND(G177/10,0)</f>
        <v>,73</v>
      </c>
      <c r="K177" s="63">
        <v>170</v>
      </c>
      <c r="M177" s="73">
        <f t="shared" si="42"/>
        <v>1.71</v>
      </c>
      <c r="O177" s="72">
        <f t="shared" si="43"/>
        <v>13.65</v>
      </c>
      <c r="Q177" s="73">
        <f t="shared" si="44"/>
        <v>-19.100000000000001</v>
      </c>
      <c r="R177" s="39" t="str">
        <f t="shared" si="45"/>
        <v>5A</v>
      </c>
      <c r="T177" s="77">
        <f t="shared" si="46"/>
        <v>79.2</v>
      </c>
      <c r="U177" s="155">
        <f t="shared" si="47"/>
        <v>119.2</v>
      </c>
      <c r="V177" s="39" t="str">
        <f t="shared" si="48"/>
        <v>,0x77</v>
      </c>
      <c r="X177" s="77">
        <f t="shared" si="49"/>
        <v>79.2</v>
      </c>
      <c r="Y177" s="155">
        <f t="shared" si="50"/>
        <v>119.2</v>
      </c>
      <c r="Z177" s="39" t="str">
        <f t="shared" si="51"/>
        <v>,0x77</v>
      </c>
      <c r="AB177" s="73">
        <f t="shared" si="52"/>
        <v>36</v>
      </c>
      <c r="AD177" s="157">
        <f t="shared" si="53"/>
        <v>0.34799999999999998</v>
      </c>
      <c r="AE177" s="157">
        <f t="shared" si="54"/>
        <v>89.088999999999999</v>
      </c>
      <c r="AG177" s="63" t="str">
        <f t="shared" si="55"/>
        <v>AE</v>
      </c>
      <c r="AJ177" s="63" t="str">
        <f t="shared" si="56"/>
        <v>AE</v>
      </c>
      <c r="AM177" s="63" t="str">
        <f t="shared" si="57"/>
        <v>AE</v>
      </c>
      <c r="AP177" s="63" t="str">
        <f t="shared" si="58"/>
        <v>AE</v>
      </c>
      <c r="AS177" s="63" t="str">
        <f t="shared" si="59"/>
        <v>AE</v>
      </c>
    </row>
    <row r="178" spans="1:45">
      <c r="A178" s="35" t="str">
        <f t="shared" si="40"/>
        <v>,171</v>
      </c>
      <c r="B178" s="35">
        <v>175</v>
      </c>
      <c r="C178" s="35" t="str">
        <f t="shared" si="41"/>
        <v>AF</v>
      </c>
      <c r="D178" s="73">
        <f>ROUND(B178*((100-9.48)/255) +9.48,1)</f>
        <v>71.599999999999994</v>
      </c>
      <c r="E178" s="39" t="str">
        <f>",0x" &amp;DEC2HEX(ROUND(D178,0))</f>
        <v>,0x48</v>
      </c>
      <c r="G178" s="76">
        <f>B178*(1063)/255</f>
        <v>729.50980392156862</v>
      </c>
      <c r="H178" s="153" t="str">
        <f>"," &amp;ROUND(G178/10,0)</f>
        <v>,73</v>
      </c>
      <c r="K178" s="63">
        <v>171</v>
      </c>
      <c r="M178" s="73">
        <f t="shared" si="42"/>
        <v>1.72</v>
      </c>
      <c r="O178" s="72">
        <f t="shared" si="43"/>
        <v>13.73</v>
      </c>
      <c r="Q178" s="73">
        <f t="shared" si="44"/>
        <v>-18.8</v>
      </c>
      <c r="R178" s="39" t="str">
        <f t="shared" si="45"/>
        <v>5A</v>
      </c>
      <c r="T178" s="77">
        <f t="shared" si="46"/>
        <v>79.8</v>
      </c>
      <c r="U178" s="155">
        <f t="shared" si="47"/>
        <v>119.8</v>
      </c>
      <c r="V178" s="39" t="str">
        <f t="shared" si="48"/>
        <v>,0x77</v>
      </c>
      <c r="X178" s="77">
        <f t="shared" si="49"/>
        <v>79.8</v>
      </c>
      <c r="Y178" s="155">
        <f t="shared" si="50"/>
        <v>119.8</v>
      </c>
      <c r="Z178" s="39" t="str">
        <f t="shared" si="51"/>
        <v>,0x77</v>
      </c>
      <c r="AB178" s="73">
        <f t="shared" si="52"/>
        <v>37</v>
      </c>
      <c r="AD178" s="157">
        <f t="shared" si="53"/>
        <v>0.35</v>
      </c>
      <c r="AE178" s="157">
        <f t="shared" si="54"/>
        <v>89.600999999999999</v>
      </c>
      <c r="AG178" s="63" t="str">
        <f t="shared" si="55"/>
        <v>AF</v>
      </c>
      <c r="AJ178" s="63" t="str">
        <f t="shared" si="56"/>
        <v>AF</v>
      </c>
      <c r="AM178" s="63" t="str">
        <f t="shared" si="57"/>
        <v>AF</v>
      </c>
      <c r="AP178" s="63" t="str">
        <f t="shared" si="58"/>
        <v>AF</v>
      </c>
      <c r="AS178" s="63" t="str">
        <f t="shared" si="59"/>
        <v>AF</v>
      </c>
    </row>
    <row r="179" spans="1:45">
      <c r="A179" s="35" t="str">
        <f t="shared" si="40"/>
        <v>,172</v>
      </c>
      <c r="B179" s="35">
        <v>176</v>
      </c>
      <c r="C179" s="35" t="str">
        <f t="shared" si="41"/>
        <v>B0</v>
      </c>
      <c r="D179" s="73">
        <f>ROUND(B179*((100-9.48)/255) +9.48,1)</f>
        <v>72</v>
      </c>
      <c r="E179" s="39" t="str">
        <f>",0x" &amp;DEC2HEX(ROUND(D179,0))</f>
        <v>,0x48</v>
      </c>
      <c r="G179" s="76">
        <f>B179*(1063)/255</f>
        <v>733.67843137254897</v>
      </c>
      <c r="H179" s="153" t="str">
        <f>"," &amp;ROUND(G179/10,0)</f>
        <v>,73</v>
      </c>
      <c r="K179" s="63">
        <v>172</v>
      </c>
      <c r="M179" s="73">
        <f t="shared" si="42"/>
        <v>1.73</v>
      </c>
      <c r="O179" s="72">
        <f t="shared" si="43"/>
        <v>13.8</v>
      </c>
      <c r="Q179" s="73">
        <f t="shared" si="44"/>
        <v>-18.600000000000001</v>
      </c>
      <c r="R179" s="39" t="str">
        <f t="shared" si="45"/>
        <v>5B</v>
      </c>
      <c r="T179" s="77">
        <f t="shared" si="46"/>
        <v>80.400000000000006</v>
      </c>
      <c r="U179" s="155">
        <f t="shared" si="47"/>
        <v>120.4</v>
      </c>
      <c r="V179" s="39" t="str">
        <f t="shared" si="48"/>
        <v>,0x78</v>
      </c>
      <c r="X179" s="77">
        <f t="shared" si="49"/>
        <v>80.400000000000006</v>
      </c>
      <c r="Y179" s="155">
        <f t="shared" si="50"/>
        <v>120.4</v>
      </c>
      <c r="Z179" s="39" t="str">
        <f t="shared" si="51"/>
        <v>,0x78</v>
      </c>
      <c r="AB179" s="73">
        <f t="shared" si="52"/>
        <v>38</v>
      </c>
      <c r="AD179" s="157">
        <f t="shared" si="53"/>
        <v>0.35199999999999998</v>
      </c>
      <c r="AE179" s="157">
        <f t="shared" si="54"/>
        <v>90.113</v>
      </c>
      <c r="AG179" s="63" t="str">
        <f t="shared" si="55"/>
        <v>B0</v>
      </c>
      <c r="AJ179" s="63" t="str">
        <f t="shared" si="56"/>
        <v>B0</v>
      </c>
      <c r="AM179" s="63" t="str">
        <f t="shared" si="57"/>
        <v>B0</v>
      </c>
      <c r="AP179" s="63" t="str">
        <f t="shared" si="58"/>
        <v>B0</v>
      </c>
      <c r="AS179" s="63" t="str">
        <f t="shared" si="59"/>
        <v>B0</v>
      </c>
    </row>
    <row r="180" spans="1:45">
      <c r="A180" s="35" t="str">
        <f t="shared" si="40"/>
        <v>,173</v>
      </c>
      <c r="B180" s="35">
        <v>177</v>
      </c>
      <c r="C180" s="35" t="str">
        <f t="shared" si="41"/>
        <v>B1</v>
      </c>
      <c r="D180" s="73">
        <f>ROUND(B180*((100-9.48)/255) +9.48,1)</f>
        <v>72.3</v>
      </c>
      <c r="E180" s="39" t="str">
        <f>",0x" &amp;DEC2HEX(ROUND(D180,0))</f>
        <v>,0x48</v>
      </c>
      <c r="G180" s="76">
        <f>B180*(1063)/255</f>
        <v>737.84705882352944</v>
      </c>
      <c r="H180" s="153" t="str">
        <f>"," &amp;ROUND(G180/10,0)</f>
        <v>,74</v>
      </c>
      <c r="K180" s="63">
        <v>173</v>
      </c>
      <c r="M180" s="73">
        <f t="shared" si="42"/>
        <v>1.74</v>
      </c>
      <c r="O180" s="72">
        <f t="shared" si="43"/>
        <v>13.88</v>
      </c>
      <c r="Q180" s="73">
        <f t="shared" si="44"/>
        <v>-18.399999999999999</v>
      </c>
      <c r="R180" s="39" t="str">
        <f t="shared" si="45"/>
        <v>5B</v>
      </c>
      <c r="T180" s="77">
        <f t="shared" si="46"/>
        <v>81.099999999999994</v>
      </c>
      <c r="U180" s="155">
        <f t="shared" si="47"/>
        <v>121.1</v>
      </c>
      <c r="V180" s="39" t="str">
        <f t="shared" si="48"/>
        <v>,0x79</v>
      </c>
      <c r="X180" s="77">
        <f t="shared" si="49"/>
        <v>81.099999999999994</v>
      </c>
      <c r="Y180" s="155">
        <f t="shared" si="50"/>
        <v>121.1</v>
      </c>
      <c r="Z180" s="39" t="str">
        <f t="shared" si="51"/>
        <v>,0x79</v>
      </c>
      <c r="AB180" s="73">
        <f t="shared" si="52"/>
        <v>39</v>
      </c>
      <c r="AD180" s="157">
        <f t="shared" si="53"/>
        <v>0.35399999999999998</v>
      </c>
      <c r="AE180" s="157">
        <f t="shared" si="54"/>
        <v>90.625</v>
      </c>
      <c r="AG180" s="63" t="str">
        <f t="shared" si="55"/>
        <v>B1</v>
      </c>
      <c r="AJ180" s="63" t="str">
        <f t="shared" si="56"/>
        <v>B1</v>
      </c>
      <c r="AM180" s="63" t="str">
        <f t="shared" si="57"/>
        <v>B1</v>
      </c>
      <c r="AP180" s="63" t="str">
        <f t="shared" si="58"/>
        <v>B1</v>
      </c>
      <c r="AS180" s="63" t="str">
        <f t="shared" si="59"/>
        <v>B1</v>
      </c>
    </row>
    <row r="181" spans="1:45">
      <c r="A181" s="35" t="str">
        <f t="shared" si="40"/>
        <v>,174</v>
      </c>
      <c r="B181" s="35">
        <v>178</v>
      </c>
      <c r="C181" s="35" t="str">
        <f t="shared" si="41"/>
        <v>B2</v>
      </c>
      <c r="D181" s="73">
        <f>ROUND(B181*((100-9.48)/255) +9.48,1)</f>
        <v>72.7</v>
      </c>
      <c r="E181" s="39" t="str">
        <f>",0x" &amp;DEC2HEX(ROUND(D181,0))</f>
        <v>,0x49</v>
      </c>
      <c r="G181" s="76">
        <f>B181*(1063)/255</f>
        <v>742.01568627450979</v>
      </c>
      <c r="H181" s="153" t="str">
        <f>"," &amp;ROUND(G181/10,0)</f>
        <v>,74</v>
      </c>
      <c r="K181" s="63">
        <v>174</v>
      </c>
      <c r="M181" s="73">
        <f t="shared" si="42"/>
        <v>1.75</v>
      </c>
      <c r="O181" s="72">
        <f t="shared" si="43"/>
        <v>13.96</v>
      </c>
      <c r="Q181" s="73">
        <f t="shared" si="44"/>
        <v>-18.100000000000001</v>
      </c>
      <c r="R181" s="39" t="str">
        <f t="shared" si="45"/>
        <v>5C</v>
      </c>
      <c r="T181" s="77">
        <f t="shared" si="46"/>
        <v>81.7</v>
      </c>
      <c r="U181" s="155">
        <f t="shared" si="47"/>
        <v>121.7</v>
      </c>
      <c r="V181" s="39" t="str">
        <f t="shared" si="48"/>
        <v>,0x79</v>
      </c>
      <c r="X181" s="77">
        <f t="shared" si="49"/>
        <v>81.7</v>
      </c>
      <c r="Y181" s="155">
        <f t="shared" si="50"/>
        <v>121.7</v>
      </c>
      <c r="Z181" s="39" t="str">
        <f t="shared" si="51"/>
        <v>,0x79</v>
      </c>
      <c r="AB181" s="73">
        <f t="shared" si="52"/>
        <v>40</v>
      </c>
      <c r="AD181" s="157">
        <f t="shared" si="53"/>
        <v>0.35599999999999998</v>
      </c>
      <c r="AE181" s="157">
        <f t="shared" si="54"/>
        <v>91.137</v>
      </c>
      <c r="AG181" s="63" t="str">
        <f t="shared" si="55"/>
        <v>B2</v>
      </c>
      <c r="AJ181" s="63" t="str">
        <f t="shared" si="56"/>
        <v>B2</v>
      </c>
      <c r="AM181" s="63" t="str">
        <f t="shared" si="57"/>
        <v>B2</v>
      </c>
      <c r="AP181" s="63" t="str">
        <f t="shared" si="58"/>
        <v>B2</v>
      </c>
      <c r="AS181" s="63" t="str">
        <f t="shared" si="59"/>
        <v>B2</v>
      </c>
    </row>
    <row r="182" spans="1:45">
      <c r="A182" s="35" t="str">
        <f t="shared" si="40"/>
        <v>,175</v>
      </c>
      <c r="B182" s="35">
        <v>179</v>
      </c>
      <c r="C182" s="35" t="str">
        <f t="shared" si="41"/>
        <v>B3</v>
      </c>
      <c r="D182" s="73">
        <f>ROUND(B182*((100-9.48)/255) +9.48,1)</f>
        <v>73</v>
      </c>
      <c r="E182" s="39" t="str">
        <f>",0x" &amp;DEC2HEX(ROUND(D182,0))</f>
        <v>,0x49</v>
      </c>
      <c r="G182" s="76">
        <f>B182*(1063)/255</f>
        <v>746.18431372549014</v>
      </c>
      <c r="H182" s="153" t="str">
        <f>"," &amp;ROUND(G182/10,0)</f>
        <v>,75</v>
      </c>
      <c r="K182" s="63">
        <v>175</v>
      </c>
      <c r="M182" s="73">
        <f t="shared" si="42"/>
        <v>1.75</v>
      </c>
      <c r="O182" s="72">
        <f t="shared" si="43"/>
        <v>14.04</v>
      </c>
      <c r="Q182" s="73">
        <f t="shared" si="44"/>
        <v>-17.899999999999999</v>
      </c>
      <c r="R182" s="39" t="str">
        <f t="shared" si="45"/>
        <v>5C</v>
      </c>
      <c r="T182" s="77">
        <f t="shared" si="46"/>
        <v>82.3</v>
      </c>
      <c r="U182" s="155">
        <f t="shared" si="47"/>
        <v>122.3</v>
      </c>
      <c r="V182" s="39" t="str">
        <f t="shared" si="48"/>
        <v>,0x7A</v>
      </c>
      <c r="X182" s="77">
        <f t="shared" si="49"/>
        <v>82.3</v>
      </c>
      <c r="Y182" s="155">
        <f t="shared" si="50"/>
        <v>122.3</v>
      </c>
      <c r="Z182" s="39" t="str">
        <f t="shared" si="51"/>
        <v>,0x7A</v>
      </c>
      <c r="AB182" s="73">
        <f t="shared" si="52"/>
        <v>40</v>
      </c>
      <c r="AD182" s="157">
        <f t="shared" si="53"/>
        <v>0.35799999999999998</v>
      </c>
      <c r="AE182" s="157">
        <f t="shared" si="54"/>
        <v>91.649000000000001</v>
      </c>
      <c r="AG182" s="63" t="str">
        <f t="shared" si="55"/>
        <v>B3</v>
      </c>
      <c r="AJ182" s="63" t="str">
        <f t="shared" si="56"/>
        <v>B3</v>
      </c>
      <c r="AM182" s="63" t="str">
        <f t="shared" si="57"/>
        <v>B3</v>
      </c>
      <c r="AP182" s="63" t="str">
        <f t="shared" si="58"/>
        <v>B3</v>
      </c>
      <c r="AS182" s="63" t="str">
        <f t="shared" si="59"/>
        <v>B3</v>
      </c>
    </row>
    <row r="183" spans="1:45">
      <c r="A183" s="35" t="str">
        <f t="shared" si="40"/>
        <v>,176</v>
      </c>
      <c r="B183" s="35">
        <v>180</v>
      </c>
      <c r="C183" s="35" t="str">
        <f t="shared" si="41"/>
        <v>B4</v>
      </c>
      <c r="D183" s="73">
        <f>ROUND(B183*((100-9.48)/255) +9.48,1)</f>
        <v>73.400000000000006</v>
      </c>
      <c r="E183" s="39" t="str">
        <f>",0x" &amp;DEC2HEX(ROUND(D183,0))</f>
        <v>,0x49</v>
      </c>
      <c r="G183" s="76">
        <f>B183*(1063)/255</f>
        <v>750.35294117647061</v>
      </c>
      <c r="H183" s="153" t="str">
        <f>"," &amp;ROUND(G183/10,0)</f>
        <v>,75</v>
      </c>
      <c r="K183" s="63">
        <v>176</v>
      </c>
      <c r="M183" s="73">
        <f t="shared" si="42"/>
        <v>1.76</v>
      </c>
      <c r="O183" s="72">
        <f t="shared" si="43"/>
        <v>14.12</v>
      </c>
      <c r="Q183" s="73">
        <f t="shared" si="44"/>
        <v>-17.600000000000001</v>
      </c>
      <c r="R183" s="39" t="str">
        <f t="shared" si="45"/>
        <v>5D</v>
      </c>
      <c r="T183" s="77">
        <f t="shared" si="46"/>
        <v>82.9</v>
      </c>
      <c r="U183" s="155">
        <f t="shared" si="47"/>
        <v>122.9</v>
      </c>
      <c r="V183" s="39" t="str">
        <f t="shared" si="48"/>
        <v>,0x7A</v>
      </c>
      <c r="X183" s="77">
        <f t="shared" si="49"/>
        <v>82.9</v>
      </c>
      <c r="Y183" s="155">
        <f t="shared" si="50"/>
        <v>122.9</v>
      </c>
      <c r="Z183" s="39" t="str">
        <f t="shared" si="51"/>
        <v>,0x7A</v>
      </c>
      <c r="AB183" s="73">
        <f t="shared" si="52"/>
        <v>41</v>
      </c>
      <c r="AD183" s="157">
        <f t="shared" si="53"/>
        <v>0.36</v>
      </c>
      <c r="AE183" s="157">
        <f t="shared" si="54"/>
        <v>92.161000000000001</v>
      </c>
      <c r="AG183" s="63" t="str">
        <f t="shared" si="55"/>
        <v>B4</v>
      </c>
      <c r="AJ183" s="63" t="str">
        <f t="shared" si="56"/>
        <v>B4</v>
      </c>
      <c r="AM183" s="63" t="str">
        <f t="shared" si="57"/>
        <v>B4</v>
      </c>
      <c r="AP183" s="63" t="str">
        <f t="shared" si="58"/>
        <v>B4</v>
      </c>
      <c r="AS183" s="63" t="str">
        <f t="shared" si="59"/>
        <v>B4</v>
      </c>
    </row>
    <row r="184" spans="1:45">
      <c r="A184" s="35" t="str">
        <f t="shared" si="40"/>
        <v>,177</v>
      </c>
      <c r="B184" s="35">
        <v>181</v>
      </c>
      <c r="C184" s="35" t="str">
        <f t="shared" si="41"/>
        <v>B5</v>
      </c>
      <c r="D184" s="73">
        <f>ROUND(B184*((100-9.48)/255) +9.48,1)</f>
        <v>73.7</v>
      </c>
      <c r="E184" s="39" t="str">
        <f>",0x" &amp;DEC2HEX(ROUND(D184,0))</f>
        <v>,0x4A</v>
      </c>
      <c r="G184" s="76">
        <f>B184*(1063)/255</f>
        <v>754.52156862745096</v>
      </c>
      <c r="H184" s="153" t="str">
        <f>"," &amp;ROUND(G184/10,0)</f>
        <v>,75</v>
      </c>
      <c r="K184" s="63">
        <v>177</v>
      </c>
      <c r="M184" s="73">
        <f t="shared" si="42"/>
        <v>1.77</v>
      </c>
      <c r="O184" s="72">
        <f t="shared" si="43"/>
        <v>14.2</v>
      </c>
      <c r="Q184" s="73">
        <f t="shared" si="44"/>
        <v>-17.399999999999999</v>
      </c>
      <c r="R184" s="39" t="str">
        <f t="shared" si="45"/>
        <v>5D</v>
      </c>
      <c r="T184" s="77">
        <f t="shared" si="46"/>
        <v>83.6</v>
      </c>
      <c r="U184" s="155">
        <f t="shared" si="47"/>
        <v>123.6</v>
      </c>
      <c r="V184" s="39" t="str">
        <f t="shared" si="48"/>
        <v>,0x7B</v>
      </c>
      <c r="X184" s="77">
        <f t="shared" si="49"/>
        <v>83.6</v>
      </c>
      <c r="Y184" s="155">
        <f t="shared" si="50"/>
        <v>123.6</v>
      </c>
      <c r="Z184" s="39" t="str">
        <f t="shared" si="51"/>
        <v>,0x7B</v>
      </c>
      <c r="AB184" s="73">
        <f t="shared" si="52"/>
        <v>42</v>
      </c>
      <c r="AD184" s="157">
        <f t="shared" si="53"/>
        <v>0.36199999999999999</v>
      </c>
      <c r="AE184" s="157">
        <f t="shared" si="54"/>
        <v>92.673000000000002</v>
      </c>
      <c r="AG184" s="63" t="str">
        <f t="shared" si="55"/>
        <v>B5</v>
      </c>
      <c r="AJ184" s="63" t="str">
        <f t="shared" si="56"/>
        <v>B5</v>
      </c>
      <c r="AM184" s="63" t="str">
        <f t="shared" si="57"/>
        <v>B5</v>
      </c>
      <c r="AP184" s="63" t="str">
        <f t="shared" si="58"/>
        <v>B5</v>
      </c>
      <c r="AS184" s="63" t="str">
        <f t="shared" si="59"/>
        <v>B5</v>
      </c>
    </row>
    <row r="185" spans="1:45">
      <c r="A185" s="35" t="str">
        <f t="shared" si="40"/>
        <v>,178</v>
      </c>
      <c r="B185" s="35">
        <v>182</v>
      </c>
      <c r="C185" s="35" t="str">
        <f t="shared" si="41"/>
        <v>B6</v>
      </c>
      <c r="D185" s="73">
        <f>ROUND(B185*((100-9.48)/255) +9.48,1)</f>
        <v>74.099999999999994</v>
      </c>
      <c r="E185" s="39" t="str">
        <f>",0x" &amp;DEC2HEX(ROUND(D185,0))</f>
        <v>,0x4A</v>
      </c>
      <c r="G185" s="76">
        <f>B185*(1063)/255</f>
        <v>758.69019607843143</v>
      </c>
      <c r="H185" s="153" t="str">
        <f>"," &amp;ROUND(G185/10,0)</f>
        <v>,76</v>
      </c>
      <c r="K185" s="63">
        <v>178</v>
      </c>
      <c r="M185" s="73">
        <f t="shared" si="42"/>
        <v>1.78</v>
      </c>
      <c r="O185" s="72">
        <f t="shared" si="43"/>
        <v>14.27</v>
      </c>
      <c r="Q185" s="73">
        <f t="shared" si="44"/>
        <v>-17.2</v>
      </c>
      <c r="R185" s="39" t="str">
        <f t="shared" si="45"/>
        <v>5E</v>
      </c>
      <c r="T185" s="77">
        <f t="shared" si="46"/>
        <v>84.2</v>
      </c>
      <c r="U185" s="155">
        <f t="shared" si="47"/>
        <v>124.2</v>
      </c>
      <c r="V185" s="39" t="str">
        <f t="shared" si="48"/>
        <v>,0x7C</v>
      </c>
      <c r="X185" s="77">
        <f t="shared" si="49"/>
        <v>84.2</v>
      </c>
      <c r="Y185" s="155">
        <f t="shared" si="50"/>
        <v>124.2</v>
      </c>
      <c r="Z185" s="39" t="str">
        <f t="shared" si="51"/>
        <v>,0x7C</v>
      </c>
      <c r="AB185" s="73">
        <f t="shared" si="52"/>
        <v>43</v>
      </c>
      <c r="AD185" s="157">
        <f t="shared" si="53"/>
        <v>0.36399999999999999</v>
      </c>
      <c r="AE185" s="157">
        <f t="shared" si="54"/>
        <v>93.185000000000002</v>
      </c>
      <c r="AG185" s="63" t="str">
        <f t="shared" si="55"/>
        <v>B6</v>
      </c>
      <c r="AJ185" s="63" t="str">
        <f t="shared" si="56"/>
        <v>B6</v>
      </c>
      <c r="AM185" s="63" t="str">
        <f t="shared" si="57"/>
        <v>B6</v>
      </c>
      <c r="AP185" s="63" t="str">
        <f t="shared" si="58"/>
        <v>B6</v>
      </c>
      <c r="AS185" s="63" t="str">
        <f t="shared" si="59"/>
        <v>B6</v>
      </c>
    </row>
    <row r="186" spans="1:45">
      <c r="A186" s="35" t="str">
        <f t="shared" si="40"/>
        <v>,179</v>
      </c>
      <c r="B186" s="35">
        <v>183</v>
      </c>
      <c r="C186" s="35" t="str">
        <f t="shared" si="41"/>
        <v>B7</v>
      </c>
      <c r="D186" s="73">
        <f>ROUND(B186*((100-9.48)/255) +9.48,1)</f>
        <v>74.400000000000006</v>
      </c>
      <c r="E186" s="39" t="str">
        <f>",0x" &amp;DEC2HEX(ROUND(D186,0))</f>
        <v>,0x4A</v>
      </c>
      <c r="G186" s="76">
        <f>B186*(1063)/255</f>
        <v>762.85882352941178</v>
      </c>
      <c r="H186" s="153" t="str">
        <f>"," &amp;ROUND(G186/10,0)</f>
        <v>,76</v>
      </c>
      <c r="K186" s="63">
        <v>179</v>
      </c>
      <c r="M186" s="73">
        <f t="shared" si="42"/>
        <v>1.79</v>
      </c>
      <c r="O186" s="72">
        <f t="shared" si="43"/>
        <v>14.35</v>
      </c>
      <c r="Q186" s="73">
        <f t="shared" si="44"/>
        <v>-16.899999999999999</v>
      </c>
      <c r="R186" s="39" t="str">
        <f t="shared" si="45"/>
        <v>5E</v>
      </c>
      <c r="T186" s="77">
        <f t="shared" si="46"/>
        <v>84.8</v>
      </c>
      <c r="U186" s="155">
        <f t="shared" si="47"/>
        <v>124.8</v>
      </c>
      <c r="V186" s="39" t="str">
        <f t="shared" si="48"/>
        <v>,0x7C</v>
      </c>
      <c r="X186" s="77">
        <f t="shared" si="49"/>
        <v>84.8</v>
      </c>
      <c r="Y186" s="155">
        <f t="shared" si="50"/>
        <v>124.8</v>
      </c>
      <c r="Z186" s="39" t="str">
        <f t="shared" si="51"/>
        <v>,0x7C</v>
      </c>
      <c r="AB186" s="73">
        <f t="shared" si="52"/>
        <v>44</v>
      </c>
      <c r="AD186" s="157">
        <f t="shared" si="53"/>
        <v>0.36599999999999999</v>
      </c>
      <c r="AE186" s="157">
        <f t="shared" si="54"/>
        <v>93.697000000000003</v>
      </c>
      <c r="AG186" s="63" t="str">
        <f t="shared" si="55"/>
        <v>B7</v>
      </c>
      <c r="AJ186" s="63" t="str">
        <f t="shared" si="56"/>
        <v>B7</v>
      </c>
      <c r="AM186" s="63" t="str">
        <f t="shared" si="57"/>
        <v>B7</v>
      </c>
      <c r="AP186" s="63" t="str">
        <f t="shared" si="58"/>
        <v>B7</v>
      </c>
      <c r="AS186" s="63" t="str">
        <f t="shared" si="59"/>
        <v>B7</v>
      </c>
    </row>
    <row r="187" spans="1:45">
      <c r="A187" s="35" t="str">
        <f t="shared" si="40"/>
        <v>,180</v>
      </c>
      <c r="B187" s="35">
        <v>184</v>
      </c>
      <c r="C187" s="35" t="str">
        <f t="shared" si="41"/>
        <v>B8</v>
      </c>
      <c r="D187" s="73">
        <f>ROUND(B187*((100-9.48)/255) +9.48,1)</f>
        <v>74.8</v>
      </c>
      <c r="E187" s="39" t="str">
        <f>",0x" &amp;DEC2HEX(ROUND(D187,0))</f>
        <v>,0x4B</v>
      </c>
      <c r="G187" s="76">
        <f>B187*(1063)/255</f>
        <v>767.02745098039213</v>
      </c>
      <c r="H187" s="153" t="str">
        <f>"," &amp;ROUND(G187/10,0)</f>
        <v>,77</v>
      </c>
      <c r="K187" s="63">
        <v>180</v>
      </c>
      <c r="M187" s="73">
        <f t="shared" si="42"/>
        <v>1.8</v>
      </c>
      <c r="O187" s="72">
        <f t="shared" si="43"/>
        <v>14.43</v>
      </c>
      <c r="Q187" s="73">
        <f t="shared" si="44"/>
        <v>-16.7</v>
      </c>
      <c r="R187" s="39" t="str">
        <f t="shared" si="45"/>
        <v>5F</v>
      </c>
      <c r="T187" s="77">
        <f t="shared" si="46"/>
        <v>85.5</v>
      </c>
      <c r="U187" s="155">
        <f t="shared" si="47"/>
        <v>125.5</v>
      </c>
      <c r="V187" s="39" t="str">
        <f t="shared" si="48"/>
        <v>,0x7D</v>
      </c>
      <c r="X187" s="77">
        <f t="shared" si="49"/>
        <v>85.5</v>
      </c>
      <c r="Y187" s="155">
        <f t="shared" si="50"/>
        <v>125.5</v>
      </c>
      <c r="Z187" s="39" t="str">
        <f t="shared" si="51"/>
        <v>,0x7D</v>
      </c>
      <c r="AB187" s="73">
        <f t="shared" si="52"/>
        <v>44</v>
      </c>
      <c r="AD187" s="157">
        <f t="shared" si="53"/>
        <v>0.36799999999999999</v>
      </c>
      <c r="AE187" s="157">
        <f t="shared" si="54"/>
        <v>94.209000000000003</v>
      </c>
      <c r="AG187" s="63" t="str">
        <f t="shared" si="55"/>
        <v>B8</v>
      </c>
      <c r="AJ187" s="63" t="str">
        <f t="shared" si="56"/>
        <v>B8</v>
      </c>
      <c r="AM187" s="63" t="str">
        <f t="shared" si="57"/>
        <v>B8</v>
      </c>
      <c r="AP187" s="63" t="str">
        <f t="shared" si="58"/>
        <v>B8</v>
      </c>
      <c r="AS187" s="63" t="str">
        <f t="shared" si="59"/>
        <v>B8</v>
      </c>
    </row>
    <row r="188" spans="1:45">
      <c r="A188" s="35" t="str">
        <f t="shared" si="40"/>
        <v>,181</v>
      </c>
      <c r="B188" s="35">
        <v>185</v>
      </c>
      <c r="C188" s="35" t="str">
        <f t="shared" si="41"/>
        <v>B9</v>
      </c>
      <c r="D188" s="73">
        <f>ROUND(B188*((100-9.48)/255) +9.48,1)</f>
        <v>75.2</v>
      </c>
      <c r="E188" s="39" t="str">
        <f>",0x" &amp;DEC2HEX(ROUND(D188,0))</f>
        <v>,0x4B</v>
      </c>
      <c r="G188" s="76">
        <f>B188*(1063)/255</f>
        <v>771.1960784313726</v>
      </c>
      <c r="H188" s="153" t="str">
        <f>"," &amp;ROUND(G188/10,0)</f>
        <v>,77</v>
      </c>
      <c r="K188" s="63">
        <v>181</v>
      </c>
      <c r="M188" s="73">
        <f t="shared" si="42"/>
        <v>1.81</v>
      </c>
      <c r="O188" s="72">
        <f t="shared" si="43"/>
        <v>14.51</v>
      </c>
      <c r="Q188" s="73">
        <f t="shared" si="44"/>
        <v>-16.5</v>
      </c>
      <c r="R188" s="39" t="str">
        <f t="shared" si="45"/>
        <v>5F</v>
      </c>
      <c r="T188" s="77">
        <f t="shared" si="46"/>
        <v>86.1</v>
      </c>
      <c r="U188" s="155">
        <f t="shared" si="47"/>
        <v>126.1</v>
      </c>
      <c r="V188" s="39" t="str">
        <f t="shared" si="48"/>
        <v>,0x7E</v>
      </c>
      <c r="X188" s="77">
        <f t="shared" si="49"/>
        <v>86.1</v>
      </c>
      <c r="Y188" s="155">
        <f t="shared" si="50"/>
        <v>126.1</v>
      </c>
      <c r="Z188" s="39" t="str">
        <f t="shared" si="51"/>
        <v>,0x7E</v>
      </c>
      <c r="AB188" s="73">
        <f t="shared" si="52"/>
        <v>45</v>
      </c>
      <c r="AD188" s="157">
        <f t="shared" si="53"/>
        <v>0.37</v>
      </c>
      <c r="AE188" s="157">
        <f t="shared" si="54"/>
        <v>94.721000000000004</v>
      </c>
      <c r="AG188" s="63" t="str">
        <f t="shared" si="55"/>
        <v>B9</v>
      </c>
      <c r="AJ188" s="63" t="str">
        <f t="shared" si="56"/>
        <v>B9</v>
      </c>
      <c r="AM188" s="63" t="str">
        <f t="shared" si="57"/>
        <v>B9</v>
      </c>
      <c r="AP188" s="63" t="str">
        <f t="shared" si="58"/>
        <v>B9</v>
      </c>
      <c r="AS188" s="63" t="str">
        <f t="shared" si="59"/>
        <v>B9</v>
      </c>
    </row>
    <row r="189" spans="1:45">
      <c r="A189" s="35" t="str">
        <f t="shared" si="40"/>
        <v>,182</v>
      </c>
      <c r="B189" s="35">
        <v>186</v>
      </c>
      <c r="C189" s="35" t="str">
        <f t="shared" si="41"/>
        <v>BA</v>
      </c>
      <c r="D189" s="73">
        <f>ROUND(B189*((100-9.48)/255) +9.48,1)</f>
        <v>75.5</v>
      </c>
      <c r="E189" s="39" t="str">
        <f>",0x" &amp;DEC2HEX(ROUND(D189,0))</f>
        <v>,0x4C</v>
      </c>
      <c r="G189" s="76">
        <f>B189*(1063)/255</f>
        <v>775.36470588235295</v>
      </c>
      <c r="H189" s="153" t="str">
        <f>"," &amp;ROUND(G189/10,0)</f>
        <v>,78</v>
      </c>
      <c r="K189" s="63">
        <v>182</v>
      </c>
      <c r="M189" s="73">
        <f t="shared" si="42"/>
        <v>1.82</v>
      </c>
      <c r="O189" s="72">
        <f t="shared" si="43"/>
        <v>14.59</v>
      </c>
      <c r="Q189" s="73">
        <f t="shared" si="44"/>
        <v>-16.2</v>
      </c>
      <c r="R189" s="39" t="str">
        <f t="shared" si="45"/>
        <v>60</v>
      </c>
      <c r="T189" s="77">
        <f t="shared" si="46"/>
        <v>86.7</v>
      </c>
      <c r="U189" s="155">
        <f t="shared" si="47"/>
        <v>126.7</v>
      </c>
      <c r="V189" s="39" t="str">
        <f t="shared" si="48"/>
        <v>,0x7E</v>
      </c>
      <c r="X189" s="77">
        <f t="shared" si="49"/>
        <v>86.7</v>
      </c>
      <c r="Y189" s="155">
        <f t="shared" si="50"/>
        <v>126.7</v>
      </c>
      <c r="Z189" s="39" t="str">
        <f t="shared" si="51"/>
        <v>,0x7E</v>
      </c>
      <c r="AB189" s="73">
        <f t="shared" si="52"/>
        <v>46</v>
      </c>
      <c r="AD189" s="157">
        <f t="shared" si="53"/>
        <v>0.372</v>
      </c>
      <c r="AE189" s="157">
        <f t="shared" si="54"/>
        <v>95.233000000000004</v>
      </c>
      <c r="AG189" s="63" t="str">
        <f t="shared" si="55"/>
        <v>BA</v>
      </c>
      <c r="AJ189" s="63" t="str">
        <f t="shared" si="56"/>
        <v>BA</v>
      </c>
      <c r="AM189" s="63" t="str">
        <f t="shared" si="57"/>
        <v>BA</v>
      </c>
      <c r="AP189" s="63" t="str">
        <f t="shared" si="58"/>
        <v>BA</v>
      </c>
      <c r="AS189" s="63" t="str">
        <f t="shared" si="59"/>
        <v>BA</v>
      </c>
    </row>
    <row r="190" spans="1:45">
      <c r="A190" s="35" t="str">
        <f t="shared" si="40"/>
        <v>,183</v>
      </c>
      <c r="B190" s="35">
        <v>187</v>
      </c>
      <c r="C190" s="35" t="str">
        <f t="shared" si="41"/>
        <v>BB</v>
      </c>
      <c r="D190" s="73">
        <f>ROUND(B190*((100-9.48)/255) +9.48,1)</f>
        <v>75.900000000000006</v>
      </c>
      <c r="E190" s="39" t="str">
        <f>",0x" &amp;DEC2HEX(ROUND(D190,0))</f>
        <v>,0x4C</v>
      </c>
      <c r="G190" s="76">
        <f>B190*(1063)/255</f>
        <v>779.5333333333333</v>
      </c>
      <c r="H190" s="153" t="str">
        <f>"," &amp;ROUND(G190/10,0)</f>
        <v>,78</v>
      </c>
      <c r="K190" s="63">
        <v>183</v>
      </c>
      <c r="M190" s="73">
        <f t="shared" si="42"/>
        <v>1.83</v>
      </c>
      <c r="O190" s="72">
        <f t="shared" si="43"/>
        <v>14.67</v>
      </c>
      <c r="Q190" s="73">
        <f t="shared" si="44"/>
        <v>-16</v>
      </c>
      <c r="R190" s="39" t="str">
        <f t="shared" si="45"/>
        <v>60</v>
      </c>
      <c r="T190" s="77">
        <f t="shared" si="46"/>
        <v>87.3</v>
      </c>
      <c r="U190" s="155">
        <f t="shared" si="47"/>
        <v>127.3</v>
      </c>
      <c r="V190" s="39" t="str">
        <f t="shared" si="48"/>
        <v>,0x7F</v>
      </c>
      <c r="X190" s="77">
        <f t="shared" si="49"/>
        <v>87.3</v>
      </c>
      <c r="Y190" s="155">
        <f t="shared" si="50"/>
        <v>127.3</v>
      </c>
      <c r="Z190" s="39" t="str">
        <f t="shared" si="51"/>
        <v>,0x7F</v>
      </c>
      <c r="AB190" s="73">
        <f t="shared" si="52"/>
        <v>47</v>
      </c>
      <c r="AD190" s="157">
        <f t="shared" si="53"/>
        <v>0.374</v>
      </c>
      <c r="AE190" s="157">
        <f t="shared" si="54"/>
        <v>95.745000000000005</v>
      </c>
      <c r="AG190" s="63" t="str">
        <f t="shared" si="55"/>
        <v>BB</v>
      </c>
      <c r="AJ190" s="63" t="str">
        <f t="shared" si="56"/>
        <v>BB</v>
      </c>
      <c r="AM190" s="63" t="str">
        <f t="shared" si="57"/>
        <v>BB</v>
      </c>
      <c r="AP190" s="63" t="str">
        <f t="shared" si="58"/>
        <v>BB</v>
      </c>
      <c r="AS190" s="63" t="str">
        <f t="shared" si="59"/>
        <v>BB</v>
      </c>
    </row>
    <row r="191" spans="1:45">
      <c r="A191" s="35" t="str">
        <f t="shared" si="40"/>
        <v>,184</v>
      </c>
      <c r="B191" s="35">
        <v>188</v>
      </c>
      <c r="C191" s="35" t="str">
        <f t="shared" si="41"/>
        <v>BC</v>
      </c>
      <c r="D191" s="73">
        <f>ROUND(B191*((100-9.48)/255) +9.48,1)</f>
        <v>76.2</v>
      </c>
      <c r="E191" s="39" t="str">
        <f>",0x" &amp;DEC2HEX(ROUND(D191,0))</f>
        <v>,0x4C</v>
      </c>
      <c r="G191" s="76">
        <f>B191*(1063)/255</f>
        <v>783.70196078431377</v>
      </c>
      <c r="H191" s="153" t="str">
        <f>"," &amp;ROUND(G191/10,0)</f>
        <v>,78</v>
      </c>
      <c r="K191" s="63">
        <v>184</v>
      </c>
      <c r="M191" s="73">
        <f t="shared" si="42"/>
        <v>1.84</v>
      </c>
      <c r="O191" s="72">
        <f t="shared" si="43"/>
        <v>14.75</v>
      </c>
      <c r="Q191" s="73">
        <f t="shared" si="44"/>
        <v>-15.8</v>
      </c>
      <c r="R191" s="39" t="str">
        <f t="shared" si="45"/>
        <v>60</v>
      </c>
      <c r="T191" s="77">
        <f t="shared" si="46"/>
        <v>88</v>
      </c>
      <c r="U191" s="155">
        <f t="shared" si="47"/>
        <v>128</v>
      </c>
      <c r="V191" s="39" t="str">
        <f t="shared" si="48"/>
        <v>,0x80</v>
      </c>
      <c r="X191" s="77">
        <f t="shared" si="49"/>
        <v>88</v>
      </c>
      <c r="Y191" s="155">
        <f t="shared" si="50"/>
        <v>128</v>
      </c>
      <c r="Z191" s="39" t="str">
        <f t="shared" si="51"/>
        <v>,0x80</v>
      </c>
      <c r="AB191" s="73">
        <f t="shared" si="52"/>
        <v>47</v>
      </c>
      <c r="AD191" s="157">
        <f t="shared" si="53"/>
        <v>0.376</v>
      </c>
      <c r="AE191" s="157">
        <f t="shared" si="54"/>
        <v>96.257000000000005</v>
      </c>
      <c r="AG191" s="63" t="str">
        <f t="shared" si="55"/>
        <v>BC</v>
      </c>
      <c r="AJ191" s="63" t="str">
        <f t="shared" si="56"/>
        <v>BC</v>
      </c>
      <c r="AM191" s="63" t="str">
        <f t="shared" si="57"/>
        <v>BC</v>
      </c>
      <c r="AP191" s="63" t="str">
        <f t="shared" si="58"/>
        <v>BC</v>
      </c>
      <c r="AS191" s="63" t="str">
        <f t="shared" si="59"/>
        <v>BC</v>
      </c>
    </row>
    <row r="192" spans="1:45">
      <c r="A192" s="35" t="str">
        <f t="shared" si="40"/>
        <v>,185</v>
      </c>
      <c r="B192" s="35">
        <v>189</v>
      </c>
      <c r="C192" s="35" t="str">
        <f t="shared" si="41"/>
        <v>BD</v>
      </c>
      <c r="D192" s="73">
        <f>ROUND(B192*((100-9.48)/255) +9.48,1)</f>
        <v>76.599999999999994</v>
      </c>
      <c r="E192" s="39" t="str">
        <f>",0x" &amp;DEC2HEX(ROUND(D192,0))</f>
        <v>,0x4D</v>
      </c>
      <c r="G192" s="76">
        <f>B192*(1063)/255</f>
        <v>787.87058823529412</v>
      </c>
      <c r="H192" s="153" t="str">
        <f>"," &amp;ROUND(G192/10,0)</f>
        <v>,79</v>
      </c>
      <c r="K192" s="63">
        <v>185</v>
      </c>
      <c r="M192" s="73">
        <f t="shared" si="42"/>
        <v>1.85</v>
      </c>
      <c r="O192" s="72">
        <f t="shared" si="43"/>
        <v>14.82</v>
      </c>
      <c r="Q192" s="73">
        <f t="shared" si="44"/>
        <v>-15.5</v>
      </c>
      <c r="R192" s="39" t="str">
        <f t="shared" si="45"/>
        <v>61</v>
      </c>
      <c r="T192" s="77">
        <f t="shared" si="46"/>
        <v>88.6</v>
      </c>
      <c r="U192" s="155">
        <f t="shared" si="47"/>
        <v>128.6</v>
      </c>
      <c r="V192" s="39" t="str">
        <f t="shared" si="48"/>
        <v>,0x80</v>
      </c>
      <c r="X192" s="77">
        <f t="shared" si="49"/>
        <v>88.6</v>
      </c>
      <c r="Y192" s="155">
        <f t="shared" si="50"/>
        <v>128.6</v>
      </c>
      <c r="Z192" s="39" t="str">
        <f t="shared" si="51"/>
        <v>,0x80</v>
      </c>
      <c r="AB192" s="73">
        <f t="shared" si="52"/>
        <v>48</v>
      </c>
      <c r="AD192" s="157">
        <f t="shared" si="53"/>
        <v>0.378</v>
      </c>
      <c r="AE192" s="157">
        <f t="shared" si="54"/>
        <v>96.769000000000005</v>
      </c>
      <c r="AG192" s="63" t="str">
        <f t="shared" si="55"/>
        <v>BD</v>
      </c>
      <c r="AJ192" s="63" t="str">
        <f t="shared" si="56"/>
        <v>BD</v>
      </c>
      <c r="AM192" s="63" t="str">
        <f t="shared" si="57"/>
        <v>BD</v>
      </c>
      <c r="AP192" s="63" t="str">
        <f t="shared" si="58"/>
        <v>BD</v>
      </c>
      <c r="AS192" s="63" t="str">
        <f t="shared" si="59"/>
        <v>BD</v>
      </c>
    </row>
    <row r="193" spans="1:45">
      <c r="A193" s="35" t="str">
        <f t="shared" si="40"/>
        <v>,186</v>
      </c>
      <c r="B193" s="35">
        <v>190</v>
      </c>
      <c r="C193" s="35" t="str">
        <f t="shared" si="41"/>
        <v>BE</v>
      </c>
      <c r="D193" s="73">
        <f>ROUND(B193*((100-9.48)/255) +9.48,1)</f>
        <v>76.900000000000006</v>
      </c>
      <c r="E193" s="39" t="str">
        <f>",0x" &amp;DEC2HEX(ROUND(D193,0))</f>
        <v>,0x4D</v>
      </c>
      <c r="G193" s="76">
        <f>B193*(1063)/255</f>
        <v>792.03921568627447</v>
      </c>
      <c r="H193" s="153" t="str">
        <f>"," &amp;ROUND(G193/10,0)</f>
        <v>,79</v>
      </c>
      <c r="K193" s="63">
        <v>186</v>
      </c>
      <c r="M193" s="73">
        <f t="shared" si="42"/>
        <v>1.86</v>
      </c>
      <c r="O193" s="72">
        <f t="shared" si="43"/>
        <v>14.9</v>
      </c>
      <c r="Q193" s="73">
        <f t="shared" si="44"/>
        <v>-15.3</v>
      </c>
      <c r="R193" s="39" t="str">
        <f t="shared" si="45"/>
        <v>61</v>
      </c>
      <c r="T193" s="77">
        <f t="shared" si="46"/>
        <v>89.2</v>
      </c>
      <c r="U193" s="155">
        <f t="shared" si="47"/>
        <v>129.19999999999999</v>
      </c>
      <c r="V193" s="39" t="str">
        <f t="shared" si="48"/>
        <v>,0x81</v>
      </c>
      <c r="X193" s="77">
        <f t="shared" si="49"/>
        <v>89.2</v>
      </c>
      <c r="Y193" s="155">
        <f t="shared" si="50"/>
        <v>129.19999999999999</v>
      </c>
      <c r="Z193" s="39" t="str">
        <f t="shared" si="51"/>
        <v>,0x81</v>
      </c>
      <c r="AB193" s="73">
        <f t="shared" si="52"/>
        <v>49</v>
      </c>
      <c r="AD193" s="157">
        <f t="shared" si="53"/>
        <v>0.38</v>
      </c>
      <c r="AE193" s="157">
        <f t="shared" si="54"/>
        <v>97.281000000000006</v>
      </c>
      <c r="AG193" s="63" t="str">
        <f t="shared" si="55"/>
        <v>BE</v>
      </c>
      <c r="AJ193" s="63" t="str">
        <f t="shared" si="56"/>
        <v>BE</v>
      </c>
      <c r="AM193" s="63" t="str">
        <f t="shared" si="57"/>
        <v>BE</v>
      </c>
      <c r="AP193" s="63" t="str">
        <f t="shared" si="58"/>
        <v>BE</v>
      </c>
      <c r="AS193" s="63" t="str">
        <f t="shared" si="59"/>
        <v>BE</v>
      </c>
    </row>
    <row r="194" spans="1:45">
      <c r="A194" s="35" t="str">
        <f t="shared" si="40"/>
        <v>,187</v>
      </c>
      <c r="B194" s="35">
        <v>191</v>
      </c>
      <c r="C194" s="35" t="str">
        <f t="shared" si="41"/>
        <v>BF</v>
      </c>
      <c r="D194" s="73">
        <f>ROUND(B194*((100-9.48)/255) +9.48,1)</f>
        <v>77.3</v>
      </c>
      <c r="E194" s="39" t="str">
        <f>",0x" &amp;DEC2HEX(ROUND(D194,0))</f>
        <v>,0x4D</v>
      </c>
      <c r="G194" s="76">
        <f>B194*(1063)/255</f>
        <v>796.20784313725494</v>
      </c>
      <c r="H194" s="153" t="str">
        <f>"," &amp;ROUND(G194/10,0)</f>
        <v>,80</v>
      </c>
      <c r="K194" s="63">
        <v>187</v>
      </c>
      <c r="M194" s="73">
        <f t="shared" si="42"/>
        <v>1.87</v>
      </c>
      <c r="O194" s="72">
        <f t="shared" si="43"/>
        <v>14.98</v>
      </c>
      <c r="Q194" s="73">
        <f t="shared" si="44"/>
        <v>-15.1</v>
      </c>
      <c r="R194" s="39" t="str">
        <f t="shared" si="45"/>
        <v>62</v>
      </c>
      <c r="T194" s="77">
        <f t="shared" si="46"/>
        <v>89.8</v>
      </c>
      <c r="U194" s="155">
        <f t="shared" si="47"/>
        <v>129.80000000000001</v>
      </c>
      <c r="V194" s="39" t="str">
        <f t="shared" si="48"/>
        <v>,0x81</v>
      </c>
      <c r="X194" s="77">
        <f t="shared" si="49"/>
        <v>89.8</v>
      </c>
      <c r="Y194" s="155">
        <f t="shared" si="50"/>
        <v>129.80000000000001</v>
      </c>
      <c r="Z194" s="39" t="str">
        <f t="shared" si="51"/>
        <v>,0x81</v>
      </c>
      <c r="AB194" s="73">
        <f t="shared" si="52"/>
        <v>50</v>
      </c>
      <c r="AD194" s="157">
        <f t="shared" si="53"/>
        <v>0.38200000000000001</v>
      </c>
      <c r="AE194" s="157">
        <f t="shared" si="54"/>
        <v>97.793000000000006</v>
      </c>
      <c r="AG194" s="63" t="str">
        <f t="shared" si="55"/>
        <v>BF</v>
      </c>
      <c r="AJ194" s="63" t="str">
        <f t="shared" si="56"/>
        <v>BF</v>
      </c>
      <c r="AM194" s="63" t="str">
        <f t="shared" si="57"/>
        <v>BF</v>
      </c>
      <c r="AP194" s="63" t="str">
        <f t="shared" si="58"/>
        <v>BF</v>
      </c>
      <c r="AS194" s="63" t="str">
        <f t="shared" si="59"/>
        <v>BF</v>
      </c>
    </row>
    <row r="195" spans="1:45">
      <c r="A195" s="35" t="str">
        <f t="shared" si="40"/>
        <v>,188</v>
      </c>
      <c r="B195" s="35">
        <v>192</v>
      </c>
      <c r="C195" s="35" t="str">
        <f t="shared" si="41"/>
        <v>C0</v>
      </c>
      <c r="D195" s="73">
        <f>ROUND(B195*((100-9.48)/255) +9.48,1)</f>
        <v>77.599999999999994</v>
      </c>
      <c r="E195" s="39" t="str">
        <f>",0x" &amp;DEC2HEX(ROUND(D195,0))</f>
        <v>,0x4E</v>
      </c>
      <c r="G195" s="76">
        <f>B195*(1063)/255</f>
        <v>800.37647058823529</v>
      </c>
      <c r="H195" s="153" t="str">
        <f>"," &amp;ROUND(G195/10,0)</f>
        <v>,80</v>
      </c>
      <c r="K195" s="63">
        <v>188</v>
      </c>
      <c r="M195" s="73">
        <f t="shared" si="42"/>
        <v>1.88</v>
      </c>
      <c r="O195" s="72">
        <f t="shared" si="43"/>
        <v>15.06</v>
      </c>
      <c r="Q195" s="73">
        <f t="shared" si="44"/>
        <v>-14.8</v>
      </c>
      <c r="R195" s="39" t="str">
        <f t="shared" si="45"/>
        <v>62</v>
      </c>
      <c r="T195" s="77">
        <f t="shared" si="46"/>
        <v>90.5</v>
      </c>
      <c r="U195" s="155">
        <f t="shared" si="47"/>
        <v>130.5</v>
      </c>
      <c r="V195" s="39" t="str">
        <f t="shared" si="48"/>
        <v>,0x82</v>
      </c>
      <c r="X195" s="77">
        <f t="shared" si="49"/>
        <v>90.5</v>
      </c>
      <c r="Y195" s="155">
        <f t="shared" si="50"/>
        <v>130.5</v>
      </c>
      <c r="Z195" s="39" t="str">
        <f t="shared" si="51"/>
        <v>,0x82</v>
      </c>
      <c r="AB195" s="73">
        <f t="shared" si="52"/>
        <v>51</v>
      </c>
      <c r="AD195" s="157">
        <f t="shared" si="53"/>
        <v>0.38400000000000001</v>
      </c>
      <c r="AE195" s="157">
        <f t="shared" si="54"/>
        <v>98.305999999999997</v>
      </c>
      <c r="AG195" s="63" t="str">
        <f t="shared" si="55"/>
        <v>C0</v>
      </c>
      <c r="AJ195" s="63" t="str">
        <f t="shared" si="56"/>
        <v>C0</v>
      </c>
      <c r="AM195" s="63" t="str">
        <f t="shared" si="57"/>
        <v>C0</v>
      </c>
      <c r="AP195" s="63" t="str">
        <f t="shared" si="58"/>
        <v>C0</v>
      </c>
      <c r="AS195" s="63" t="str">
        <f t="shared" si="59"/>
        <v>C0</v>
      </c>
    </row>
    <row r="196" spans="1:45">
      <c r="A196" s="35" t="str">
        <f t="shared" ref="A196:A258" si="60">","&amp;K196</f>
        <v>,189</v>
      </c>
      <c r="B196" s="35">
        <v>193</v>
      </c>
      <c r="C196" s="35" t="str">
        <f t="shared" ref="C196:C258" si="61">DEC2HEX(B196)</f>
        <v>C1</v>
      </c>
      <c r="D196" s="73">
        <f>ROUND(B196*((100-9.48)/255) +9.48,1)</f>
        <v>78</v>
      </c>
      <c r="E196" s="39" t="str">
        <f>",0x" &amp;DEC2HEX(ROUND(D196,0))</f>
        <v>,0x4E</v>
      </c>
      <c r="G196" s="76">
        <f>B196*(1063)/255</f>
        <v>804.54509803921565</v>
      </c>
      <c r="H196" s="153" t="str">
        <f>"," &amp;ROUND(G196/10,0)</f>
        <v>,80</v>
      </c>
      <c r="K196" s="63">
        <v>189</v>
      </c>
      <c r="M196" s="73">
        <f t="shared" ref="M196:M258" si="62">ROUND($B196*(2.5/255),2)</f>
        <v>1.89</v>
      </c>
      <c r="O196" s="72">
        <f t="shared" ref="O196:O258" si="63">ROUND($B196*(20/255),2)</f>
        <v>15.14</v>
      </c>
      <c r="Q196" s="73">
        <f t="shared" ref="Q196:Q258" si="64">ROUND($B196*(60/255)-60,1)</f>
        <v>-14.6</v>
      </c>
      <c r="R196" s="39" t="str">
        <f t="shared" ref="R196:R258" si="65">DEC2HEX(ROUND((Q196+64)*2,0))</f>
        <v>63</v>
      </c>
      <c r="T196" s="77">
        <f t="shared" ref="T196:U258" si="66">ROUND($B196*(160/255)-30,1)</f>
        <v>91.1</v>
      </c>
      <c r="U196" s="155">
        <f t="shared" ref="U196:U258" si="67">T196+40</f>
        <v>131.1</v>
      </c>
      <c r="V196" s="39" t="str">
        <f t="shared" ref="V196:V258" si="68">",0x" &amp;DEC2HEX(U196)</f>
        <v>,0x83</v>
      </c>
      <c r="X196" s="77">
        <f t="shared" ref="X196:X258" si="69">ROUND($B196*(160/255)-30,1)</f>
        <v>91.1</v>
      </c>
      <c r="Y196" s="155">
        <f t="shared" ref="Y196:Y258" si="70">X196+40</f>
        <v>131.1</v>
      </c>
      <c r="Z196" s="39" t="str">
        <f t="shared" ref="Z196:Z258" si="71">",0x" &amp;DEC2HEX(Y196)</f>
        <v>,0x83</v>
      </c>
      <c r="AB196" s="73">
        <f t="shared" ref="AB196:AB258" si="72">ROUND($B196*200/255-100,0)</f>
        <v>51</v>
      </c>
      <c r="AD196" s="157">
        <f t="shared" ref="AD196:AD258" si="73">ROUND($B196*(131.072/65535),3)</f>
        <v>0.38600000000000001</v>
      </c>
      <c r="AE196" s="157">
        <f t="shared" ref="AE196:AE258" si="74">ROUND($B196*(131.072/65535)*256,3)</f>
        <v>98.817999999999998</v>
      </c>
      <c r="AG196" s="63" t="str">
        <f t="shared" ref="AG196:AG258" si="75">$C196</f>
        <v>C1</v>
      </c>
      <c r="AJ196" s="63" t="str">
        <f t="shared" ref="AJ196:AJ258" si="76">$C196</f>
        <v>C1</v>
      </c>
      <c r="AM196" s="63" t="str">
        <f t="shared" ref="AM196:AM258" si="77">$C196</f>
        <v>C1</v>
      </c>
      <c r="AP196" s="63" t="str">
        <f t="shared" ref="AP196:AP258" si="78">$C196</f>
        <v>C1</v>
      </c>
      <c r="AS196" s="63" t="str">
        <f t="shared" ref="AS196:AS258" si="79">$C196</f>
        <v>C1</v>
      </c>
    </row>
    <row r="197" spans="1:45">
      <c r="A197" s="35" t="str">
        <f t="shared" si="60"/>
        <v>,189</v>
      </c>
      <c r="B197" s="35">
        <v>194</v>
      </c>
      <c r="C197" s="35" t="str">
        <f t="shared" si="61"/>
        <v>C2</v>
      </c>
      <c r="D197" s="73">
        <f>ROUND(B197*((100-9.48)/255) +9.48,1)</f>
        <v>78.3</v>
      </c>
      <c r="E197" s="39" t="str">
        <f>",0x" &amp;DEC2HEX(ROUND(D197,0))</f>
        <v>,0x4E</v>
      </c>
      <c r="G197" s="76">
        <f>B197*(1063)/255</f>
        <v>808.71372549019611</v>
      </c>
      <c r="H197" s="153" t="str">
        <f>"," &amp;ROUND(G197/10,0)</f>
        <v>,81</v>
      </c>
      <c r="K197" s="63">
        <v>189</v>
      </c>
      <c r="M197" s="73">
        <f t="shared" si="62"/>
        <v>1.9</v>
      </c>
      <c r="O197" s="72">
        <f t="shared" si="63"/>
        <v>15.22</v>
      </c>
      <c r="Q197" s="73">
        <f t="shared" si="64"/>
        <v>-14.4</v>
      </c>
      <c r="R197" s="39" t="str">
        <f t="shared" si="65"/>
        <v>63</v>
      </c>
      <c r="T197" s="77">
        <f t="shared" si="66"/>
        <v>91.7</v>
      </c>
      <c r="U197" s="155">
        <f t="shared" si="67"/>
        <v>131.69999999999999</v>
      </c>
      <c r="V197" s="39" t="str">
        <f t="shared" si="68"/>
        <v>,0x83</v>
      </c>
      <c r="X197" s="77">
        <f t="shared" si="69"/>
        <v>91.7</v>
      </c>
      <c r="Y197" s="155">
        <f t="shared" si="70"/>
        <v>131.69999999999999</v>
      </c>
      <c r="Z197" s="39" t="str">
        <f t="shared" si="71"/>
        <v>,0x83</v>
      </c>
      <c r="AB197" s="73">
        <f t="shared" si="72"/>
        <v>52</v>
      </c>
      <c r="AD197" s="157">
        <f t="shared" si="73"/>
        <v>0.38800000000000001</v>
      </c>
      <c r="AE197" s="157">
        <f t="shared" si="74"/>
        <v>99.33</v>
      </c>
      <c r="AG197" s="63" t="str">
        <f t="shared" si="75"/>
        <v>C2</v>
      </c>
      <c r="AJ197" s="63" t="str">
        <f t="shared" si="76"/>
        <v>C2</v>
      </c>
      <c r="AM197" s="63" t="str">
        <f t="shared" si="77"/>
        <v>C2</v>
      </c>
      <c r="AP197" s="63" t="str">
        <f t="shared" si="78"/>
        <v>C2</v>
      </c>
      <c r="AS197" s="63" t="str">
        <f t="shared" si="79"/>
        <v>C2</v>
      </c>
    </row>
    <row r="198" spans="1:45">
      <c r="A198" s="35" t="str">
        <f t="shared" si="60"/>
        <v>,190</v>
      </c>
      <c r="B198" s="35">
        <v>195</v>
      </c>
      <c r="C198" s="35" t="str">
        <f t="shared" si="61"/>
        <v>C3</v>
      </c>
      <c r="D198" s="73">
        <f>ROUND(B198*((100-9.48)/255) +9.48,1)</f>
        <v>78.7</v>
      </c>
      <c r="E198" s="39" t="str">
        <f>",0x" &amp;DEC2HEX(ROUND(D198,0))</f>
        <v>,0x4F</v>
      </c>
      <c r="G198" s="76">
        <f>B198*(1063)/255</f>
        <v>812.88235294117646</v>
      </c>
      <c r="H198" s="153" t="str">
        <f>"," &amp;ROUND(G198/10,0)</f>
        <v>,81</v>
      </c>
      <c r="K198" s="63">
        <v>190</v>
      </c>
      <c r="M198" s="73">
        <f t="shared" si="62"/>
        <v>1.91</v>
      </c>
      <c r="O198" s="72">
        <f t="shared" si="63"/>
        <v>15.29</v>
      </c>
      <c r="Q198" s="73">
        <f t="shared" si="64"/>
        <v>-14.1</v>
      </c>
      <c r="R198" s="39" t="str">
        <f t="shared" si="65"/>
        <v>64</v>
      </c>
      <c r="T198" s="77">
        <f t="shared" si="66"/>
        <v>92.4</v>
      </c>
      <c r="U198" s="155">
        <f t="shared" si="67"/>
        <v>132.4</v>
      </c>
      <c r="V198" s="39" t="str">
        <f t="shared" si="68"/>
        <v>,0x84</v>
      </c>
      <c r="X198" s="77">
        <f t="shared" si="69"/>
        <v>92.4</v>
      </c>
      <c r="Y198" s="155">
        <f t="shared" si="70"/>
        <v>132.4</v>
      </c>
      <c r="Z198" s="39" t="str">
        <f t="shared" si="71"/>
        <v>,0x84</v>
      </c>
      <c r="AB198" s="73">
        <f t="shared" si="72"/>
        <v>53</v>
      </c>
      <c r="AD198" s="157">
        <f t="shared" si="73"/>
        <v>0.39</v>
      </c>
      <c r="AE198" s="157">
        <f t="shared" si="74"/>
        <v>99.841999999999999</v>
      </c>
      <c r="AG198" s="63" t="str">
        <f t="shared" si="75"/>
        <v>C3</v>
      </c>
      <c r="AJ198" s="63" t="str">
        <f t="shared" si="76"/>
        <v>C3</v>
      </c>
      <c r="AM198" s="63" t="str">
        <f t="shared" si="77"/>
        <v>C3</v>
      </c>
      <c r="AP198" s="63" t="str">
        <f t="shared" si="78"/>
        <v>C3</v>
      </c>
      <c r="AS198" s="63" t="str">
        <f t="shared" si="79"/>
        <v>C3</v>
      </c>
    </row>
    <row r="199" spans="1:45">
      <c r="A199" s="35" t="str">
        <f t="shared" si="60"/>
        <v>,191</v>
      </c>
      <c r="B199" s="35">
        <v>196</v>
      </c>
      <c r="C199" s="35" t="str">
        <f t="shared" si="61"/>
        <v>C4</v>
      </c>
      <c r="D199" s="73">
        <f>ROUND(B199*((100-9.48)/255) +9.48,1)</f>
        <v>79.099999999999994</v>
      </c>
      <c r="E199" s="39" t="str">
        <f>",0x" &amp;DEC2HEX(ROUND(D199,0))</f>
        <v>,0x4F</v>
      </c>
      <c r="G199" s="76">
        <f>B199*(1063)/255</f>
        <v>817.05098039215682</v>
      </c>
      <c r="H199" s="153" t="str">
        <f>"," &amp;ROUND(G199/10,0)</f>
        <v>,82</v>
      </c>
      <c r="K199" s="63">
        <v>191</v>
      </c>
      <c r="M199" s="73">
        <f t="shared" si="62"/>
        <v>1.92</v>
      </c>
      <c r="O199" s="72">
        <f t="shared" si="63"/>
        <v>15.37</v>
      </c>
      <c r="Q199" s="73">
        <f t="shared" si="64"/>
        <v>-13.9</v>
      </c>
      <c r="R199" s="39" t="str">
        <f t="shared" si="65"/>
        <v>64</v>
      </c>
      <c r="T199" s="77">
        <f t="shared" si="66"/>
        <v>93</v>
      </c>
      <c r="U199" s="155">
        <f t="shared" si="67"/>
        <v>133</v>
      </c>
      <c r="V199" s="39" t="str">
        <f t="shared" si="68"/>
        <v>,0x85</v>
      </c>
      <c r="X199" s="77">
        <f t="shared" si="69"/>
        <v>93</v>
      </c>
      <c r="Y199" s="155">
        <f t="shared" si="70"/>
        <v>133</v>
      </c>
      <c r="Z199" s="39" t="str">
        <f t="shared" si="71"/>
        <v>,0x85</v>
      </c>
      <c r="AB199" s="73">
        <f t="shared" si="72"/>
        <v>54</v>
      </c>
      <c r="AD199" s="157">
        <f t="shared" si="73"/>
        <v>0.39200000000000002</v>
      </c>
      <c r="AE199" s="157">
        <f t="shared" si="74"/>
        <v>100.354</v>
      </c>
      <c r="AG199" s="63" t="str">
        <f t="shared" si="75"/>
        <v>C4</v>
      </c>
      <c r="AJ199" s="63" t="str">
        <f t="shared" si="76"/>
        <v>C4</v>
      </c>
      <c r="AM199" s="63" t="str">
        <f t="shared" si="77"/>
        <v>C4</v>
      </c>
      <c r="AP199" s="63" t="str">
        <f t="shared" si="78"/>
        <v>C4</v>
      </c>
      <c r="AS199" s="63" t="str">
        <f t="shared" si="79"/>
        <v>C4</v>
      </c>
    </row>
    <row r="200" spans="1:45">
      <c r="A200" s="35" t="str">
        <f t="shared" si="60"/>
        <v>,192</v>
      </c>
      <c r="B200" s="35">
        <v>197</v>
      </c>
      <c r="C200" s="35" t="str">
        <f t="shared" si="61"/>
        <v>C5</v>
      </c>
      <c r="D200" s="73">
        <f>ROUND(B200*((100-9.48)/255) +9.48,1)</f>
        <v>79.400000000000006</v>
      </c>
      <c r="E200" s="39" t="str">
        <f>",0x" &amp;DEC2HEX(ROUND(D200,0))</f>
        <v>,0x4F</v>
      </c>
      <c r="G200" s="76">
        <f>B200*(1063)/255</f>
        <v>821.21960784313728</v>
      </c>
      <c r="H200" s="153" t="str">
        <f>"," &amp;ROUND(G200/10,0)</f>
        <v>,82</v>
      </c>
      <c r="K200" s="63">
        <v>192</v>
      </c>
      <c r="M200" s="73">
        <f t="shared" si="62"/>
        <v>1.93</v>
      </c>
      <c r="O200" s="72">
        <f t="shared" si="63"/>
        <v>15.45</v>
      </c>
      <c r="Q200" s="73">
        <f t="shared" si="64"/>
        <v>-13.6</v>
      </c>
      <c r="R200" s="39" t="str">
        <f t="shared" si="65"/>
        <v>65</v>
      </c>
      <c r="T200" s="77">
        <f t="shared" si="66"/>
        <v>93.6</v>
      </c>
      <c r="U200" s="155">
        <f t="shared" si="67"/>
        <v>133.6</v>
      </c>
      <c r="V200" s="39" t="str">
        <f t="shared" si="68"/>
        <v>,0x85</v>
      </c>
      <c r="X200" s="77">
        <f t="shared" si="69"/>
        <v>93.6</v>
      </c>
      <c r="Y200" s="155">
        <f t="shared" si="70"/>
        <v>133.6</v>
      </c>
      <c r="Z200" s="39" t="str">
        <f t="shared" si="71"/>
        <v>,0x85</v>
      </c>
      <c r="AB200" s="73">
        <f t="shared" si="72"/>
        <v>55</v>
      </c>
      <c r="AD200" s="157">
        <f t="shared" si="73"/>
        <v>0.39400000000000002</v>
      </c>
      <c r="AE200" s="157">
        <f t="shared" si="74"/>
        <v>100.866</v>
      </c>
      <c r="AG200" s="63" t="str">
        <f t="shared" si="75"/>
        <v>C5</v>
      </c>
      <c r="AJ200" s="63" t="str">
        <f t="shared" si="76"/>
        <v>C5</v>
      </c>
      <c r="AM200" s="63" t="str">
        <f t="shared" si="77"/>
        <v>C5</v>
      </c>
      <c r="AP200" s="63" t="str">
        <f t="shared" si="78"/>
        <v>C5</v>
      </c>
      <c r="AS200" s="63" t="str">
        <f t="shared" si="79"/>
        <v>C5</v>
      </c>
    </row>
    <row r="201" spans="1:45">
      <c r="A201" s="35" t="str">
        <f t="shared" si="60"/>
        <v>,193</v>
      </c>
      <c r="B201" s="35">
        <v>198</v>
      </c>
      <c r="C201" s="35" t="str">
        <f t="shared" si="61"/>
        <v>C6</v>
      </c>
      <c r="D201" s="73">
        <f>ROUND(B201*((100-9.48)/255) +9.48,1)</f>
        <v>79.8</v>
      </c>
      <c r="E201" s="39" t="str">
        <f>",0x" &amp;DEC2HEX(ROUND(D201,0))</f>
        <v>,0x50</v>
      </c>
      <c r="G201" s="76">
        <f>B201*(1063)/255</f>
        <v>825.38823529411764</v>
      </c>
      <c r="H201" s="153" t="str">
        <f>"," &amp;ROUND(G201/10,0)</f>
        <v>,83</v>
      </c>
      <c r="K201" s="63">
        <v>193</v>
      </c>
      <c r="M201" s="73">
        <f t="shared" si="62"/>
        <v>1.94</v>
      </c>
      <c r="O201" s="72">
        <f t="shared" si="63"/>
        <v>15.53</v>
      </c>
      <c r="Q201" s="73">
        <f t="shared" si="64"/>
        <v>-13.4</v>
      </c>
      <c r="R201" s="39" t="str">
        <f t="shared" si="65"/>
        <v>65</v>
      </c>
      <c r="T201" s="77">
        <f t="shared" si="66"/>
        <v>94.2</v>
      </c>
      <c r="U201" s="155">
        <f t="shared" si="67"/>
        <v>134.19999999999999</v>
      </c>
      <c r="V201" s="39" t="str">
        <f t="shared" si="68"/>
        <v>,0x86</v>
      </c>
      <c r="X201" s="77">
        <f t="shared" si="69"/>
        <v>94.2</v>
      </c>
      <c r="Y201" s="155">
        <f t="shared" si="70"/>
        <v>134.19999999999999</v>
      </c>
      <c r="Z201" s="39" t="str">
        <f t="shared" si="71"/>
        <v>,0x86</v>
      </c>
      <c r="AB201" s="73">
        <f t="shared" si="72"/>
        <v>55</v>
      </c>
      <c r="AD201" s="157">
        <f t="shared" si="73"/>
        <v>0.39600000000000002</v>
      </c>
      <c r="AE201" s="157">
        <f t="shared" si="74"/>
        <v>101.378</v>
      </c>
      <c r="AG201" s="63" t="str">
        <f t="shared" si="75"/>
        <v>C6</v>
      </c>
      <c r="AJ201" s="63" t="str">
        <f t="shared" si="76"/>
        <v>C6</v>
      </c>
      <c r="AM201" s="63" t="str">
        <f t="shared" si="77"/>
        <v>C6</v>
      </c>
      <c r="AP201" s="63" t="str">
        <f t="shared" si="78"/>
        <v>C6</v>
      </c>
      <c r="AS201" s="63" t="str">
        <f t="shared" si="79"/>
        <v>C6</v>
      </c>
    </row>
    <row r="202" spans="1:45">
      <c r="A202" s="35" t="str">
        <f t="shared" si="60"/>
        <v>,194</v>
      </c>
      <c r="B202" s="35">
        <v>199</v>
      </c>
      <c r="C202" s="35" t="str">
        <f t="shared" si="61"/>
        <v>C7</v>
      </c>
      <c r="D202" s="73">
        <f>ROUND(B202*((100-9.48)/255) +9.48,1)</f>
        <v>80.099999999999994</v>
      </c>
      <c r="E202" s="39" t="str">
        <f>",0x" &amp;DEC2HEX(ROUND(D202,0))</f>
        <v>,0x50</v>
      </c>
      <c r="G202" s="76">
        <f>B202*(1063)/255</f>
        <v>829.55686274509799</v>
      </c>
      <c r="H202" s="153" t="str">
        <f>"," &amp;ROUND(G202/10,0)</f>
        <v>,83</v>
      </c>
      <c r="K202" s="63">
        <v>194</v>
      </c>
      <c r="M202" s="73">
        <f t="shared" si="62"/>
        <v>1.95</v>
      </c>
      <c r="O202" s="72">
        <f t="shared" si="63"/>
        <v>15.61</v>
      </c>
      <c r="Q202" s="73">
        <f t="shared" si="64"/>
        <v>-13.2</v>
      </c>
      <c r="R202" s="39" t="str">
        <f t="shared" si="65"/>
        <v>66</v>
      </c>
      <c r="T202" s="77">
        <f t="shared" si="66"/>
        <v>94.9</v>
      </c>
      <c r="U202" s="155">
        <f t="shared" si="67"/>
        <v>134.9</v>
      </c>
      <c r="V202" s="39" t="str">
        <f t="shared" si="68"/>
        <v>,0x86</v>
      </c>
      <c r="X202" s="77">
        <f t="shared" si="69"/>
        <v>94.9</v>
      </c>
      <c r="Y202" s="155">
        <f t="shared" si="70"/>
        <v>134.9</v>
      </c>
      <c r="Z202" s="39" t="str">
        <f t="shared" si="71"/>
        <v>,0x86</v>
      </c>
      <c r="AB202" s="73">
        <f t="shared" si="72"/>
        <v>56</v>
      </c>
      <c r="AD202" s="157">
        <f t="shared" si="73"/>
        <v>0.39800000000000002</v>
      </c>
      <c r="AE202" s="157">
        <f t="shared" si="74"/>
        <v>101.89</v>
      </c>
      <c r="AG202" s="63" t="str">
        <f t="shared" si="75"/>
        <v>C7</v>
      </c>
      <c r="AJ202" s="63" t="str">
        <f t="shared" si="76"/>
        <v>C7</v>
      </c>
      <c r="AM202" s="63" t="str">
        <f t="shared" si="77"/>
        <v>C7</v>
      </c>
      <c r="AP202" s="63" t="str">
        <f t="shared" si="78"/>
        <v>C7</v>
      </c>
      <c r="AS202" s="63" t="str">
        <f t="shared" si="79"/>
        <v>C7</v>
      </c>
    </row>
    <row r="203" spans="1:45">
      <c r="A203" s="35" t="str">
        <f t="shared" si="60"/>
        <v>,195</v>
      </c>
      <c r="B203" s="35">
        <v>200</v>
      </c>
      <c r="C203" s="35" t="str">
        <f t="shared" si="61"/>
        <v>C8</v>
      </c>
      <c r="D203" s="73">
        <f>ROUND(B203*((100-9.48)/255) +9.48,1)</f>
        <v>80.5</v>
      </c>
      <c r="E203" s="39" t="str">
        <f>",0x" &amp;DEC2HEX(ROUND(D203,0))</f>
        <v>,0x51</v>
      </c>
      <c r="G203" s="76">
        <f>B203*(1063)/255</f>
        <v>833.72549019607845</v>
      </c>
      <c r="H203" s="153" t="str">
        <f>"," &amp;ROUND(G203/10,0)</f>
        <v>,83</v>
      </c>
      <c r="K203" s="63">
        <v>195</v>
      </c>
      <c r="M203" s="73">
        <f t="shared" si="62"/>
        <v>1.96</v>
      </c>
      <c r="O203" s="72">
        <f t="shared" si="63"/>
        <v>15.69</v>
      </c>
      <c r="Q203" s="73">
        <f t="shared" si="64"/>
        <v>-12.9</v>
      </c>
      <c r="R203" s="39" t="str">
        <f t="shared" si="65"/>
        <v>66</v>
      </c>
      <c r="T203" s="77">
        <f t="shared" si="66"/>
        <v>95.5</v>
      </c>
      <c r="U203" s="155">
        <f t="shared" si="67"/>
        <v>135.5</v>
      </c>
      <c r="V203" s="39" t="str">
        <f t="shared" si="68"/>
        <v>,0x87</v>
      </c>
      <c r="X203" s="77">
        <f t="shared" si="69"/>
        <v>95.5</v>
      </c>
      <c r="Y203" s="155">
        <f t="shared" si="70"/>
        <v>135.5</v>
      </c>
      <c r="Z203" s="39" t="str">
        <f t="shared" si="71"/>
        <v>,0x87</v>
      </c>
      <c r="AB203" s="73">
        <f t="shared" si="72"/>
        <v>57</v>
      </c>
      <c r="AD203" s="157">
        <f t="shared" si="73"/>
        <v>0.4</v>
      </c>
      <c r="AE203" s="157">
        <f t="shared" si="74"/>
        <v>102.402</v>
      </c>
      <c r="AG203" s="63" t="str">
        <f t="shared" si="75"/>
        <v>C8</v>
      </c>
      <c r="AJ203" s="63" t="str">
        <f t="shared" si="76"/>
        <v>C8</v>
      </c>
      <c r="AM203" s="63" t="str">
        <f t="shared" si="77"/>
        <v>C8</v>
      </c>
      <c r="AP203" s="63" t="str">
        <f t="shared" si="78"/>
        <v>C8</v>
      </c>
      <c r="AS203" s="63" t="str">
        <f t="shared" si="79"/>
        <v>C8</v>
      </c>
    </row>
    <row r="204" spans="1:45">
      <c r="A204" s="35" t="str">
        <f t="shared" si="60"/>
        <v>,196</v>
      </c>
      <c r="B204" s="35">
        <v>201</v>
      </c>
      <c r="C204" s="35" t="str">
        <f t="shared" si="61"/>
        <v>C9</v>
      </c>
      <c r="D204" s="73">
        <f>ROUND(B204*((100-9.48)/255) +9.48,1)</f>
        <v>80.8</v>
      </c>
      <c r="E204" s="39" t="str">
        <f>",0x" &amp;DEC2HEX(ROUND(D204,0))</f>
        <v>,0x51</v>
      </c>
      <c r="G204" s="76">
        <f>B204*(1063)/255</f>
        <v>837.89411764705881</v>
      </c>
      <c r="H204" s="153" t="str">
        <f>"," &amp;ROUND(G204/10,0)</f>
        <v>,84</v>
      </c>
      <c r="K204" s="63">
        <v>196</v>
      </c>
      <c r="M204" s="73">
        <f t="shared" si="62"/>
        <v>1.97</v>
      </c>
      <c r="O204" s="72">
        <f t="shared" si="63"/>
        <v>15.76</v>
      </c>
      <c r="Q204" s="73">
        <f t="shared" si="64"/>
        <v>-12.7</v>
      </c>
      <c r="R204" s="39" t="str">
        <f t="shared" si="65"/>
        <v>67</v>
      </c>
      <c r="T204" s="77">
        <f t="shared" si="66"/>
        <v>96.1</v>
      </c>
      <c r="U204" s="155">
        <f t="shared" si="67"/>
        <v>136.1</v>
      </c>
      <c r="V204" s="39" t="str">
        <f t="shared" si="68"/>
        <v>,0x88</v>
      </c>
      <c r="X204" s="77">
        <f t="shared" si="69"/>
        <v>96.1</v>
      </c>
      <c r="Y204" s="155">
        <f t="shared" si="70"/>
        <v>136.1</v>
      </c>
      <c r="Z204" s="39" t="str">
        <f t="shared" si="71"/>
        <v>,0x88</v>
      </c>
      <c r="AB204" s="73">
        <f t="shared" si="72"/>
        <v>58</v>
      </c>
      <c r="AD204" s="157">
        <f t="shared" si="73"/>
        <v>0.40200000000000002</v>
      </c>
      <c r="AE204" s="157">
        <f t="shared" si="74"/>
        <v>102.914</v>
      </c>
      <c r="AG204" s="63" t="str">
        <f t="shared" si="75"/>
        <v>C9</v>
      </c>
      <c r="AJ204" s="63" t="str">
        <f t="shared" si="76"/>
        <v>C9</v>
      </c>
      <c r="AM204" s="63" t="str">
        <f t="shared" si="77"/>
        <v>C9</v>
      </c>
      <c r="AP204" s="63" t="str">
        <f t="shared" si="78"/>
        <v>C9</v>
      </c>
      <c r="AS204" s="63" t="str">
        <f t="shared" si="79"/>
        <v>C9</v>
      </c>
    </row>
    <row r="205" spans="1:45">
      <c r="A205" s="35" t="str">
        <f t="shared" si="60"/>
        <v>,197</v>
      </c>
      <c r="B205" s="35">
        <v>202</v>
      </c>
      <c r="C205" s="35" t="str">
        <f t="shared" si="61"/>
        <v>CA</v>
      </c>
      <c r="D205" s="73">
        <f>ROUND(B205*((100-9.48)/255) +9.48,1)</f>
        <v>81.2</v>
      </c>
      <c r="E205" s="39" t="str">
        <f>",0x" &amp;DEC2HEX(ROUND(D205,0))</f>
        <v>,0x51</v>
      </c>
      <c r="G205" s="76">
        <f>B205*(1063)/255</f>
        <v>842.06274509803927</v>
      </c>
      <c r="H205" s="153" t="str">
        <f>"," &amp;ROUND(G205/10,0)</f>
        <v>,84</v>
      </c>
      <c r="K205" s="63">
        <v>197</v>
      </c>
      <c r="M205" s="73">
        <f t="shared" si="62"/>
        <v>1.98</v>
      </c>
      <c r="O205" s="72">
        <f t="shared" si="63"/>
        <v>15.84</v>
      </c>
      <c r="Q205" s="73">
        <f t="shared" si="64"/>
        <v>-12.5</v>
      </c>
      <c r="R205" s="39" t="str">
        <f t="shared" si="65"/>
        <v>67</v>
      </c>
      <c r="T205" s="77">
        <f t="shared" si="66"/>
        <v>96.7</v>
      </c>
      <c r="U205" s="155">
        <f t="shared" si="67"/>
        <v>136.69999999999999</v>
      </c>
      <c r="V205" s="39" t="str">
        <f t="shared" si="68"/>
        <v>,0x88</v>
      </c>
      <c r="X205" s="77">
        <f t="shared" si="69"/>
        <v>96.7</v>
      </c>
      <c r="Y205" s="155">
        <f t="shared" si="70"/>
        <v>136.69999999999999</v>
      </c>
      <c r="Z205" s="39" t="str">
        <f t="shared" si="71"/>
        <v>,0x88</v>
      </c>
      <c r="AB205" s="73">
        <f t="shared" si="72"/>
        <v>58</v>
      </c>
      <c r="AD205" s="157">
        <f t="shared" si="73"/>
        <v>0.40400000000000003</v>
      </c>
      <c r="AE205" s="157">
        <f t="shared" si="74"/>
        <v>103.426</v>
      </c>
      <c r="AG205" s="63" t="str">
        <f t="shared" si="75"/>
        <v>CA</v>
      </c>
      <c r="AJ205" s="63" t="str">
        <f t="shared" si="76"/>
        <v>CA</v>
      </c>
      <c r="AM205" s="63" t="str">
        <f t="shared" si="77"/>
        <v>CA</v>
      </c>
      <c r="AP205" s="63" t="str">
        <f t="shared" si="78"/>
        <v>CA</v>
      </c>
      <c r="AS205" s="63" t="str">
        <f t="shared" si="79"/>
        <v>CA</v>
      </c>
    </row>
    <row r="206" spans="1:45">
      <c r="A206" s="35" t="str">
        <f t="shared" si="60"/>
        <v>,198</v>
      </c>
      <c r="B206" s="35">
        <v>203</v>
      </c>
      <c r="C206" s="35" t="str">
        <f t="shared" si="61"/>
        <v>CB</v>
      </c>
      <c r="D206" s="73">
        <f>ROUND(B206*((100-9.48)/255) +9.48,1)</f>
        <v>81.5</v>
      </c>
      <c r="E206" s="39" t="str">
        <f>",0x" &amp;DEC2HEX(ROUND(D206,0))</f>
        <v>,0x52</v>
      </c>
      <c r="G206" s="76">
        <f>B206*(1063)/255</f>
        <v>846.23137254901962</v>
      </c>
      <c r="H206" s="153" t="str">
        <f>"," &amp;ROUND(G206/10,0)</f>
        <v>,85</v>
      </c>
      <c r="K206" s="63">
        <v>198</v>
      </c>
      <c r="M206" s="73">
        <f t="shared" si="62"/>
        <v>1.99</v>
      </c>
      <c r="O206" s="72">
        <f t="shared" si="63"/>
        <v>15.92</v>
      </c>
      <c r="Q206" s="73">
        <f t="shared" si="64"/>
        <v>-12.2</v>
      </c>
      <c r="R206" s="39" t="str">
        <f t="shared" si="65"/>
        <v>68</v>
      </c>
      <c r="T206" s="77">
        <f t="shared" si="66"/>
        <v>97.4</v>
      </c>
      <c r="U206" s="155">
        <f t="shared" si="67"/>
        <v>137.4</v>
      </c>
      <c r="V206" s="39" t="str">
        <f t="shared" si="68"/>
        <v>,0x89</v>
      </c>
      <c r="X206" s="77">
        <f t="shared" si="69"/>
        <v>97.4</v>
      </c>
      <c r="Y206" s="155">
        <f t="shared" si="70"/>
        <v>137.4</v>
      </c>
      <c r="Z206" s="39" t="str">
        <f t="shared" si="71"/>
        <v>,0x89</v>
      </c>
      <c r="AB206" s="73">
        <f t="shared" si="72"/>
        <v>59</v>
      </c>
      <c r="AD206" s="157">
        <f t="shared" si="73"/>
        <v>0.40600000000000003</v>
      </c>
      <c r="AE206" s="157">
        <f t="shared" si="74"/>
        <v>103.938</v>
      </c>
      <c r="AG206" s="63" t="str">
        <f t="shared" si="75"/>
        <v>CB</v>
      </c>
      <c r="AJ206" s="63" t="str">
        <f t="shared" si="76"/>
        <v>CB</v>
      </c>
      <c r="AM206" s="63" t="str">
        <f t="shared" si="77"/>
        <v>CB</v>
      </c>
      <c r="AP206" s="63" t="str">
        <f t="shared" si="78"/>
        <v>CB</v>
      </c>
      <c r="AS206" s="63" t="str">
        <f t="shared" si="79"/>
        <v>CB</v>
      </c>
    </row>
    <row r="207" spans="1:45">
      <c r="A207" s="35" t="str">
        <f t="shared" si="60"/>
        <v>,199</v>
      </c>
      <c r="B207" s="35">
        <v>204</v>
      </c>
      <c r="C207" s="35" t="str">
        <f t="shared" si="61"/>
        <v>CC</v>
      </c>
      <c r="D207" s="73">
        <f>ROUND(B207*((100-9.48)/255) +9.48,1)</f>
        <v>81.900000000000006</v>
      </c>
      <c r="E207" s="39" t="str">
        <f>",0x" &amp;DEC2HEX(ROUND(D207,0))</f>
        <v>,0x52</v>
      </c>
      <c r="G207" s="76">
        <f>B207*(1063)/255</f>
        <v>850.4</v>
      </c>
      <c r="H207" s="153" t="str">
        <f>"," &amp;ROUND(G207/10,0)</f>
        <v>,85</v>
      </c>
      <c r="K207" s="63">
        <v>199</v>
      </c>
      <c r="M207" s="73">
        <f t="shared" si="62"/>
        <v>2</v>
      </c>
      <c r="O207" s="72">
        <f t="shared" si="63"/>
        <v>16</v>
      </c>
      <c r="Q207" s="73">
        <f t="shared" si="64"/>
        <v>-12</v>
      </c>
      <c r="R207" s="39" t="str">
        <f t="shared" si="65"/>
        <v>68</v>
      </c>
      <c r="T207" s="77">
        <f t="shared" si="66"/>
        <v>98</v>
      </c>
      <c r="U207" s="155">
        <f t="shared" si="67"/>
        <v>138</v>
      </c>
      <c r="V207" s="39" t="str">
        <f t="shared" si="68"/>
        <v>,0x8A</v>
      </c>
      <c r="X207" s="77">
        <f t="shared" si="69"/>
        <v>98</v>
      </c>
      <c r="Y207" s="155">
        <f t="shared" si="70"/>
        <v>138</v>
      </c>
      <c r="Z207" s="39" t="str">
        <f t="shared" si="71"/>
        <v>,0x8A</v>
      </c>
      <c r="AB207" s="73">
        <f t="shared" si="72"/>
        <v>60</v>
      </c>
      <c r="AD207" s="157">
        <f t="shared" si="73"/>
        <v>0.40799999999999997</v>
      </c>
      <c r="AE207" s="157">
        <f t="shared" si="74"/>
        <v>104.45</v>
      </c>
      <c r="AG207" s="63" t="str">
        <f t="shared" si="75"/>
        <v>CC</v>
      </c>
      <c r="AJ207" s="63" t="str">
        <f t="shared" si="76"/>
        <v>CC</v>
      </c>
      <c r="AM207" s="63" t="str">
        <f t="shared" si="77"/>
        <v>CC</v>
      </c>
      <c r="AP207" s="63" t="str">
        <f t="shared" si="78"/>
        <v>CC</v>
      </c>
      <c r="AS207" s="63" t="str">
        <f t="shared" si="79"/>
        <v>CC</v>
      </c>
    </row>
    <row r="208" spans="1:45">
      <c r="A208" s="35" t="str">
        <f t="shared" si="60"/>
        <v>,200</v>
      </c>
      <c r="B208" s="35">
        <v>205</v>
      </c>
      <c r="C208" s="35" t="str">
        <f t="shared" si="61"/>
        <v>CD</v>
      </c>
      <c r="D208" s="73">
        <f>ROUND(B208*((100-9.48)/255) +9.48,1)</f>
        <v>82.3</v>
      </c>
      <c r="E208" s="39" t="str">
        <f>",0x" &amp;DEC2HEX(ROUND(D208,0))</f>
        <v>,0x52</v>
      </c>
      <c r="G208" s="76">
        <f>B208*(1063)/255</f>
        <v>854.56862745098044</v>
      </c>
      <c r="H208" s="153" t="str">
        <f>"," &amp;ROUND(G208/10,0)</f>
        <v>,85</v>
      </c>
      <c r="K208" s="63">
        <v>200</v>
      </c>
      <c r="M208" s="73">
        <f t="shared" si="62"/>
        <v>2.0099999999999998</v>
      </c>
      <c r="O208" s="72">
        <f t="shared" si="63"/>
        <v>16.079999999999998</v>
      </c>
      <c r="Q208" s="73">
        <f t="shared" si="64"/>
        <v>-11.8</v>
      </c>
      <c r="R208" s="39" t="str">
        <f t="shared" si="65"/>
        <v>68</v>
      </c>
      <c r="T208" s="77">
        <f t="shared" si="66"/>
        <v>98.6</v>
      </c>
      <c r="U208" s="155">
        <f t="shared" si="67"/>
        <v>138.6</v>
      </c>
      <c r="V208" s="39" t="str">
        <f t="shared" si="68"/>
        <v>,0x8A</v>
      </c>
      <c r="X208" s="77">
        <f t="shared" si="69"/>
        <v>98.6</v>
      </c>
      <c r="Y208" s="155">
        <f t="shared" si="70"/>
        <v>138.6</v>
      </c>
      <c r="Z208" s="39" t="str">
        <f t="shared" si="71"/>
        <v>,0x8A</v>
      </c>
      <c r="AB208" s="73">
        <f t="shared" si="72"/>
        <v>61</v>
      </c>
      <c r="AD208" s="157">
        <f t="shared" si="73"/>
        <v>0.41</v>
      </c>
      <c r="AE208" s="157">
        <f t="shared" si="74"/>
        <v>104.962</v>
      </c>
      <c r="AG208" s="63" t="str">
        <f t="shared" si="75"/>
        <v>CD</v>
      </c>
      <c r="AJ208" s="63" t="str">
        <f t="shared" si="76"/>
        <v>CD</v>
      </c>
      <c r="AM208" s="63" t="str">
        <f t="shared" si="77"/>
        <v>CD</v>
      </c>
      <c r="AP208" s="63" t="str">
        <f t="shared" si="78"/>
        <v>CD</v>
      </c>
      <c r="AS208" s="63" t="str">
        <f t="shared" si="79"/>
        <v>CD</v>
      </c>
    </row>
    <row r="209" spans="1:45">
      <c r="A209" s="35" t="str">
        <f t="shared" si="60"/>
        <v>,201</v>
      </c>
      <c r="B209" s="35">
        <v>206</v>
      </c>
      <c r="C209" s="35" t="str">
        <f t="shared" si="61"/>
        <v>CE</v>
      </c>
      <c r="D209" s="73">
        <f>ROUND(B209*((100-9.48)/255) +9.48,1)</f>
        <v>82.6</v>
      </c>
      <c r="E209" s="39" t="str">
        <f>",0x" &amp;DEC2HEX(ROUND(D209,0))</f>
        <v>,0x53</v>
      </c>
      <c r="G209" s="76">
        <f>B209*(1063)/255</f>
        <v>858.7372549019608</v>
      </c>
      <c r="H209" s="153" t="str">
        <f>"," &amp;ROUND(G209/10,0)</f>
        <v>,86</v>
      </c>
      <c r="K209" s="63">
        <v>201</v>
      </c>
      <c r="M209" s="73">
        <f t="shared" si="62"/>
        <v>2.02</v>
      </c>
      <c r="O209" s="72">
        <f t="shared" si="63"/>
        <v>16.16</v>
      </c>
      <c r="Q209" s="73">
        <f t="shared" si="64"/>
        <v>-11.5</v>
      </c>
      <c r="R209" s="39" t="str">
        <f t="shared" si="65"/>
        <v>69</v>
      </c>
      <c r="T209" s="77">
        <f t="shared" si="66"/>
        <v>99.3</v>
      </c>
      <c r="U209" s="155">
        <f t="shared" si="67"/>
        <v>139.30000000000001</v>
      </c>
      <c r="V209" s="39" t="str">
        <f t="shared" si="68"/>
        <v>,0x8B</v>
      </c>
      <c r="X209" s="77">
        <f t="shared" si="69"/>
        <v>99.3</v>
      </c>
      <c r="Y209" s="155">
        <f t="shared" si="70"/>
        <v>139.30000000000001</v>
      </c>
      <c r="Z209" s="39" t="str">
        <f t="shared" si="71"/>
        <v>,0x8B</v>
      </c>
      <c r="AB209" s="73">
        <f t="shared" si="72"/>
        <v>62</v>
      </c>
      <c r="AD209" s="157">
        <f t="shared" si="73"/>
        <v>0.41199999999999998</v>
      </c>
      <c r="AE209" s="157">
        <f t="shared" si="74"/>
        <v>105.474</v>
      </c>
      <c r="AG209" s="63" t="str">
        <f t="shared" si="75"/>
        <v>CE</v>
      </c>
      <c r="AJ209" s="63" t="str">
        <f t="shared" si="76"/>
        <v>CE</v>
      </c>
      <c r="AM209" s="63" t="str">
        <f t="shared" si="77"/>
        <v>CE</v>
      </c>
      <c r="AP209" s="63" t="str">
        <f t="shared" si="78"/>
        <v>CE</v>
      </c>
      <c r="AS209" s="63" t="str">
        <f t="shared" si="79"/>
        <v>CE</v>
      </c>
    </row>
    <row r="210" spans="1:45">
      <c r="A210" s="35" t="str">
        <f t="shared" si="60"/>
        <v>,202</v>
      </c>
      <c r="B210" s="35">
        <v>207</v>
      </c>
      <c r="C210" s="35" t="str">
        <f t="shared" si="61"/>
        <v>CF</v>
      </c>
      <c r="D210" s="73">
        <f>ROUND(B210*((100-9.48)/255) +9.48,1)</f>
        <v>83</v>
      </c>
      <c r="E210" s="39" t="str">
        <f>",0x" &amp;DEC2HEX(ROUND(D210,0))</f>
        <v>,0x53</v>
      </c>
      <c r="G210" s="76">
        <f>B210*(1063)/255</f>
        <v>862.90588235294115</v>
      </c>
      <c r="H210" s="153" t="str">
        <f>"," &amp;ROUND(G210/10,0)</f>
        <v>,86</v>
      </c>
      <c r="K210" s="63">
        <v>202</v>
      </c>
      <c r="M210" s="73">
        <f t="shared" si="62"/>
        <v>2.0299999999999998</v>
      </c>
      <c r="O210" s="72">
        <f t="shared" si="63"/>
        <v>16.239999999999998</v>
      </c>
      <c r="Q210" s="73">
        <f t="shared" si="64"/>
        <v>-11.3</v>
      </c>
      <c r="R210" s="39" t="str">
        <f t="shared" si="65"/>
        <v>69</v>
      </c>
      <c r="T210" s="77">
        <f t="shared" si="66"/>
        <v>99.9</v>
      </c>
      <c r="U210" s="155">
        <f t="shared" si="67"/>
        <v>139.9</v>
      </c>
      <c r="V210" s="39" t="str">
        <f t="shared" si="68"/>
        <v>,0x8B</v>
      </c>
      <c r="X210" s="77">
        <f t="shared" si="69"/>
        <v>99.9</v>
      </c>
      <c r="Y210" s="155">
        <f t="shared" si="70"/>
        <v>139.9</v>
      </c>
      <c r="Z210" s="39" t="str">
        <f t="shared" si="71"/>
        <v>,0x8B</v>
      </c>
      <c r="AB210" s="73">
        <f t="shared" si="72"/>
        <v>62</v>
      </c>
      <c r="AD210" s="157">
        <f t="shared" si="73"/>
        <v>0.41399999999999998</v>
      </c>
      <c r="AE210" s="157">
        <f t="shared" si="74"/>
        <v>105.986</v>
      </c>
      <c r="AG210" s="63" t="str">
        <f t="shared" si="75"/>
        <v>CF</v>
      </c>
      <c r="AJ210" s="63" t="str">
        <f t="shared" si="76"/>
        <v>CF</v>
      </c>
      <c r="AM210" s="63" t="str">
        <f t="shared" si="77"/>
        <v>CF</v>
      </c>
      <c r="AP210" s="63" t="str">
        <f t="shared" si="78"/>
        <v>CF</v>
      </c>
      <c r="AS210" s="63" t="str">
        <f t="shared" si="79"/>
        <v>CF</v>
      </c>
    </row>
    <row r="211" spans="1:45">
      <c r="A211" s="35" t="str">
        <f t="shared" si="60"/>
        <v>,203</v>
      </c>
      <c r="B211" s="35">
        <v>208</v>
      </c>
      <c r="C211" s="35" t="str">
        <f t="shared" si="61"/>
        <v>D0</v>
      </c>
      <c r="D211" s="73">
        <f>ROUND(B211*((100-9.48)/255) +9.48,1)</f>
        <v>83.3</v>
      </c>
      <c r="E211" s="39" t="str">
        <f>",0x" &amp;DEC2HEX(ROUND(D211,0))</f>
        <v>,0x53</v>
      </c>
      <c r="G211" s="76">
        <f>B211*(1063)/255</f>
        <v>867.07450980392161</v>
      </c>
      <c r="H211" s="153" t="str">
        <f>"," &amp;ROUND(G211/10,0)</f>
        <v>,87</v>
      </c>
      <c r="K211" s="63">
        <v>203</v>
      </c>
      <c r="M211" s="73">
        <f t="shared" si="62"/>
        <v>2.04</v>
      </c>
      <c r="O211" s="72">
        <f t="shared" si="63"/>
        <v>16.309999999999999</v>
      </c>
      <c r="Q211" s="73">
        <f t="shared" si="64"/>
        <v>-11.1</v>
      </c>
      <c r="R211" s="39" t="str">
        <f t="shared" si="65"/>
        <v>6A</v>
      </c>
      <c r="T211" s="77">
        <f t="shared" si="66"/>
        <v>100.5</v>
      </c>
      <c r="U211" s="155">
        <f t="shared" si="67"/>
        <v>140.5</v>
      </c>
      <c r="V211" s="39" t="str">
        <f t="shared" si="68"/>
        <v>,0x8C</v>
      </c>
      <c r="X211" s="77">
        <f t="shared" si="69"/>
        <v>100.5</v>
      </c>
      <c r="Y211" s="155">
        <f t="shared" si="70"/>
        <v>140.5</v>
      </c>
      <c r="Z211" s="39" t="str">
        <f t="shared" si="71"/>
        <v>,0x8C</v>
      </c>
      <c r="AB211" s="73">
        <f t="shared" si="72"/>
        <v>63</v>
      </c>
      <c r="AD211" s="157">
        <f t="shared" si="73"/>
        <v>0.41599999999999998</v>
      </c>
      <c r="AE211" s="157">
        <f t="shared" si="74"/>
        <v>106.498</v>
      </c>
      <c r="AG211" s="63" t="str">
        <f t="shared" si="75"/>
        <v>D0</v>
      </c>
      <c r="AJ211" s="63" t="str">
        <f t="shared" si="76"/>
        <v>D0</v>
      </c>
      <c r="AM211" s="63" t="str">
        <f t="shared" si="77"/>
        <v>D0</v>
      </c>
      <c r="AP211" s="63" t="str">
        <f t="shared" si="78"/>
        <v>D0</v>
      </c>
      <c r="AS211" s="63" t="str">
        <f t="shared" si="79"/>
        <v>D0</v>
      </c>
    </row>
    <row r="212" spans="1:45">
      <c r="A212" s="35" t="str">
        <f t="shared" si="60"/>
        <v>,204</v>
      </c>
      <c r="B212" s="35">
        <v>209</v>
      </c>
      <c r="C212" s="35" t="str">
        <f t="shared" si="61"/>
        <v>D1</v>
      </c>
      <c r="D212" s="73">
        <f>ROUND(B212*((100-9.48)/255) +9.48,1)</f>
        <v>83.7</v>
      </c>
      <c r="E212" s="39" t="str">
        <f>",0x" &amp;DEC2HEX(ROUND(D212,0))</f>
        <v>,0x54</v>
      </c>
      <c r="G212" s="76">
        <f>B212*(1063)/255</f>
        <v>871.24313725490197</v>
      </c>
      <c r="H212" s="153" t="str">
        <f>"," &amp;ROUND(G212/10,0)</f>
        <v>,87</v>
      </c>
      <c r="K212" s="63">
        <v>204</v>
      </c>
      <c r="M212" s="73">
        <f t="shared" si="62"/>
        <v>2.0499999999999998</v>
      </c>
      <c r="O212" s="72">
        <f t="shared" si="63"/>
        <v>16.39</v>
      </c>
      <c r="Q212" s="73">
        <f t="shared" si="64"/>
        <v>-10.8</v>
      </c>
      <c r="R212" s="39" t="str">
        <f t="shared" si="65"/>
        <v>6A</v>
      </c>
      <c r="T212" s="77">
        <f t="shared" si="66"/>
        <v>101.1</v>
      </c>
      <c r="U212" s="155">
        <f t="shared" si="67"/>
        <v>141.1</v>
      </c>
      <c r="V212" s="39" t="str">
        <f t="shared" si="68"/>
        <v>,0x8D</v>
      </c>
      <c r="X212" s="77">
        <f t="shared" si="69"/>
        <v>101.1</v>
      </c>
      <c r="Y212" s="155">
        <f t="shared" si="70"/>
        <v>141.1</v>
      </c>
      <c r="Z212" s="39" t="str">
        <f t="shared" si="71"/>
        <v>,0x8D</v>
      </c>
      <c r="AB212" s="73">
        <f t="shared" si="72"/>
        <v>64</v>
      </c>
      <c r="AD212" s="157">
        <f t="shared" si="73"/>
        <v>0.41799999999999998</v>
      </c>
      <c r="AE212" s="157">
        <f t="shared" si="74"/>
        <v>107.01</v>
      </c>
      <c r="AG212" s="63" t="str">
        <f t="shared" si="75"/>
        <v>D1</v>
      </c>
      <c r="AJ212" s="63" t="str">
        <f t="shared" si="76"/>
        <v>D1</v>
      </c>
      <c r="AM212" s="63" t="str">
        <f t="shared" si="77"/>
        <v>D1</v>
      </c>
      <c r="AP212" s="63" t="str">
        <f t="shared" si="78"/>
        <v>D1</v>
      </c>
      <c r="AS212" s="63" t="str">
        <f t="shared" si="79"/>
        <v>D1</v>
      </c>
    </row>
    <row r="213" spans="1:45">
      <c r="A213" s="35" t="str">
        <f t="shared" si="60"/>
        <v>,205</v>
      </c>
      <c r="B213" s="35">
        <v>210</v>
      </c>
      <c r="C213" s="35" t="str">
        <f t="shared" si="61"/>
        <v>D2</v>
      </c>
      <c r="D213" s="73">
        <f>ROUND(B213*((100-9.48)/255) +9.48,1)</f>
        <v>84</v>
      </c>
      <c r="E213" s="39" t="str">
        <f>",0x" &amp;DEC2HEX(ROUND(D213,0))</f>
        <v>,0x54</v>
      </c>
      <c r="G213" s="76">
        <f>B213*(1063)/255</f>
        <v>875.41176470588232</v>
      </c>
      <c r="H213" s="153" t="str">
        <f>"," &amp;ROUND(G213/10,0)</f>
        <v>,88</v>
      </c>
      <c r="K213" s="63">
        <v>205</v>
      </c>
      <c r="M213" s="73">
        <f t="shared" si="62"/>
        <v>2.06</v>
      </c>
      <c r="O213" s="72">
        <f t="shared" si="63"/>
        <v>16.47</v>
      </c>
      <c r="Q213" s="73">
        <f t="shared" si="64"/>
        <v>-10.6</v>
      </c>
      <c r="R213" s="39" t="str">
        <f t="shared" si="65"/>
        <v>6B</v>
      </c>
      <c r="T213" s="77">
        <f t="shared" si="66"/>
        <v>101.8</v>
      </c>
      <c r="U213" s="155">
        <f t="shared" si="67"/>
        <v>141.80000000000001</v>
      </c>
      <c r="V213" s="39" t="str">
        <f t="shared" si="68"/>
        <v>,0x8D</v>
      </c>
      <c r="X213" s="77">
        <f t="shared" si="69"/>
        <v>101.8</v>
      </c>
      <c r="Y213" s="155">
        <f t="shared" si="70"/>
        <v>141.80000000000001</v>
      </c>
      <c r="Z213" s="39" t="str">
        <f t="shared" si="71"/>
        <v>,0x8D</v>
      </c>
      <c r="AB213" s="73">
        <f t="shared" si="72"/>
        <v>65</v>
      </c>
      <c r="AD213" s="157">
        <f t="shared" si="73"/>
        <v>0.42</v>
      </c>
      <c r="AE213" s="157">
        <f t="shared" si="74"/>
        <v>107.52200000000001</v>
      </c>
      <c r="AG213" s="63" t="str">
        <f t="shared" si="75"/>
        <v>D2</v>
      </c>
      <c r="AJ213" s="63" t="str">
        <f t="shared" si="76"/>
        <v>D2</v>
      </c>
      <c r="AM213" s="63" t="str">
        <f t="shared" si="77"/>
        <v>D2</v>
      </c>
      <c r="AP213" s="63" t="str">
        <f t="shared" si="78"/>
        <v>D2</v>
      </c>
      <c r="AS213" s="63" t="str">
        <f t="shared" si="79"/>
        <v>D2</v>
      </c>
    </row>
    <row r="214" spans="1:45">
      <c r="A214" s="35" t="str">
        <f t="shared" si="60"/>
        <v>,206</v>
      </c>
      <c r="B214" s="35">
        <v>211</v>
      </c>
      <c r="C214" s="35" t="str">
        <f t="shared" si="61"/>
        <v>D3</v>
      </c>
      <c r="D214" s="73">
        <f>ROUND(B214*((100-9.48)/255) +9.48,1)</f>
        <v>84.4</v>
      </c>
      <c r="E214" s="39" t="str">
        <f>",0x" &amp;DEC2HEX(ROUND(D214,0))</f>
        <v>,0x54</v>
      </c>
      <c r="G214" s="76">
        <f>B214*(1063)/255</f>
        <v>879.58039215686279</v>
      </c>
      <c r="H214" s="153" t="str">
        <f>"," &amp;ROUND(G214/10,0)</f>
        <v>,88</v>
      </c>
      <c r="K214" s="63">
        <v>206</v>
      </c>
      <c r="M214" s="73">
        <f t="shared" si="62"/>
        <v>2.0699999999999998</v>
      </c>
      <c r="O214" s="72">
        <f t="shared" si="63"/>
        <v>16.55</v>
      </c>
      <c r="Q214" s="73">
        <f t="shared" si="64"/>
        <v>-10.4</v>
      </c>
      <c r="R214" s="39" t="str">
        <f t="shared" si="65"/>
        <v>6B</v>
      </c>
      <c r="T214" s="77">
        <f t="shared" si="66"/>
        <v>102.4</v>
      </c>
      <c r="U214" s="155">
        <f t="shared" si="67"/>
        <v>142.4</v>
      </c>
      <c r="V214" s="39" t="str">
        <f t="shared" si="68"/>
        <v>,0x8E</v>
      </c>
      <c r="X214" s="77">
        <f t="shared" si="69"/>
        <v>102.4</v>
      </c>
      <c r="Y214" s="155">
        <f t="shared" si="70"/>
        <v>142.4</v>
      </c>
      <c r="Z214" s="39" t="str">
        <f t="shared" si="71"/>
        <v>,0x8E</v>
      </c>
      <c r="AB214" s="73">
        <f t="shared" si="72"/>
        <v>65</v>
      </c>
      <c r="AD214" s="157">
        <f t="shared" si="73"/>
        <v>0.42199999999999999</v>
      </c>
      <c r="AE214" s="157">
        <f t="shared" si="74"/>
        <v>108.03400000000001</v>
      </c>
      <c r="AG214" s="63" t="str">
        <f t="shared" si="75"/>
        <v>D3</v>
      </c>
      <c r="AJ214" s="63" t="str">
        <f t="shared" si="76"/>
        <v>D3</v>
      </c>
      <c r="AM214" s="63" t="str">
        <f t="shared" si="77"/>
        <v>D3</v>
      </c>
      <c r="AP214" s="63" t="str">
        <f t="shared" si="78"/>
        <v>D3</v>
      </c>
      <c r="AS214" s="63" t="str">
        <f t="shared" si="79"/>
        <v>D3</v>
      </c>
    </row>
    <row r="215" spans="1:45">
      <c r="A215" s="35" t="str">
        <f t="shared" si="60"/>
        <v>,207</v>
      </c>
      <c r="B215" s="35">
        <v>212</v>
      </c>
      <c r="C215" s="35" t="str">
        <f t="shared" si="61"/>
        <v>D4</v>
      </c>
      <c r="D215" s="73">
        <f>ROUND(B215*((100-9.48)/255) +9.48,1)</f>
        <v>84.7</v>
      </c>
      <c r="E215" s="39" t="str">
        <f>",0x" &amp;DEC2HEX(ROUND(D215,0))</f>
        <v>,0x55</v>
      </c>
      <c r="G215" s="76">
        <f>B215*(1063)/255</f>
        <v>883.74901960784314</v>
      </c>
      <c r="H215" s="153" t="str">
        <f>"," &amp;ROUND(G215/10,0)</f>
        <v>,88</v>
      </c>
      <c r="K215" s="63">
        <v>207</v>
      </c>
      <c r="M215" s="73">
        <f t="shared" si="62"/>
        <v>2.08</v>
      </c>
      <c r="O215" s="72">
        <f t="shared" si="63"/>
        <v>16.63</v>
      </c>
      <c r="Q215" s="73">
        <f t="shared" si="64"/>
        <v>-10.1</v>
      </c>
      <c r="R215" s="39" t="str">
        <f t="shared" si="65"/>
        <v>6C</v>
      </c>
      <c r="T215" s="77">
        <f t="shared" si="66"/>
        <v>103</v>
      </c>
      <c r="U215" s="155">
        <f t="shared" si="67"/>
        <v>143</v>
      </c>
      <c r="V215" s="39" t="str">
        <f t="shared" si="68"/>
        <v>,0x8F</v>
      </c>
      <c r="X215" s="77">
        <f t="shared" si="69"/>
        <v>103</v>
      </c>
      <c r="Y215" s="155">
        <f t="shared" si="70"/>
        <v>143</v>
      </c>
      <c r="Z215" s="39" t="str">
        <f t="shared" si="71"/>
        <v>,0x8F</v>
      </c>
      <c r="AB215" s="73">
        <f t="shared" si="72"/>
        <v>66</v>
      </c>
      <c r="AD215" s="157">
        <f t="shared" si="73"/>
        <v>0.42399999999999999</v>
      </c>
      <c r="AE215" s="157">
        <f t="shared" si="74"/>
        <v>108.54600000000001</v>
      </c>
      <c r="AG215" s="63" t="str">
        <f t="shared" si="75"/>
        <v>D4</v>
      </c>
      <c r="AJ215" s="63" t="str">
        <f t="shared" si="76"/>
        <v>D4</v>
      </c>
      <c r="AM215" s="63" t="str">
        <f t="shared" si="77"/>
        <v>D4</v>
      </c>
      <c r="AP215" s="63" t="str">
        <f t="shared" si="78"/>
        <v>D4</v>
      </c>
      <c r="AS215" s="63" t="str">
        <f t="shared" si="79"/>
        <v>D4</v>
      </c>
    </row>
    <row r="216" spans="1:45">
      <c r="A216" s="35" t="str">
        <f t="shared" si="60"/>
        <v>,208</v>
      </c>
      <c r="B216" s="35">
        <v>213</v>
      </c>
      <c r="C216" s="35" t="str">
        <f t="shared" si="61"/>
        <v>D5</v>
      </c>
      <c r="D216" s="73">
        <f>ROUND(B216*((100-9.48)/255) +9.48,1)</f>
        <v>85.1</v>
      </c>
      <c r="E216" s="39" t="str">
        <f>",0x" &amp;DEC2HEX(ROUND(D216,0))</f>
        <v>,0x55</v>
      </c>
      <c r="G216" s="76">
        <f>B216*(1063)/255</f>
        <v>887.91764705882349</v>
      </c>
      <c r="H216" s="153" t="str">
        <f>"," &amp;ROUND(G216/10,0)</f>
        <v>,89</v>
      </c>
      <c r="K216" s="63">
        <v>208</v>
      </c>
      <c r="M216" s="73">
        <f t="shared" si="62"/>
        <v>2.09</v>
      </c>
      <c r="O216" s="72">
        <f t="shared" si="63"/>
        <v>16.71</v>
      </c>
      <c r="Q216" s="73">
        <f t="shared" si="64"/>
        <v>-9.9</v>
      </c>
      <c r="R216" s="39" t="str">
        <f t="shared" si="65"/>
        <v>6C</v>
      </c>
      <c r="T216" s="77">
        <f t="shared" si="66"/>
        <v>103.6</v>
      </c>
      <c r="U216" s="155">
        <f t="shared" si="67"/>
        <v>143.6</v>
      </c>
      <c r="V216" s="39" t="str">
        <f t="shared" si="68"/>
        <v>,0x8F</v>
      </c>
      <c r="X216" s="77">
        <f t="shared" si="69"/>
        <v>103.6</v>
      </c>
      <c r="Y216" s="155">
        <f t="shared" si="70"/>
        <v>143.6</v>
      </c>
      <c r="Z216" s="39" t="str">
        <f t="shared" si="71"/>
        <v>,0x8F</v>
      </c>
      <c r="AB216" s="73">
        <f t="shared" si="72"/>
        <v>67</v>
      </c>
      <c r="AD216" s="157">
        <f t="shared" si="73"/>
        <v>0.42599999999999999</v>
      </c>
      <c r="AE216" s="157">
        <f t="shared" si="74"/>
        <v>109.05800000000001</v>
      </c>
      <c r="AG216" s="63" t="str">
        <f t="shared" si="75"/>
        <v>D5</v>
      </c>
      <c r="AJ216" s="63" t="str">
        <f t="shared" si="76"/>
        <v>D5</v>
      </c>
      <c r="AM216" s="63" t="str">
        <f t="shared" si="77"/>
        <v>D5</v>
      </c>
      <c r="AP216" s="63" t="str">
        <f t="shared" si="78"/>
        <v>D5</v>
      </c>
      <c r="AS216" s="63" t="str">
        <f t="shared" si="79"/>
        <v>D5</v>
      </c>
    </row>
    <row r="217" spans="1:45">
      <c r="A217" s="35" t="str">
        <f t="shared" si="60"/>
        <v>,209</v>
      </c>
      <c r="B217" s="35">
        <v>214</v>
      </c>
      <c r="C217" s="35" t="str">
        <f t="shared" si="61"/>
        <v>D6</v>
      </c>
      <c r="D217" s="73">
        <f>ROUND(B217*((100-9.48)/255) +9.48,1)</f>
        <v>85.4</v>
      </c>
      <c r="E217" s="39" t="str">
        <f>",0x" &amp;DEC2HEX(ROUND(D217,0))</f>
        <v>,0x55</v>
      </c>
      <c r="G217" s="76">
        <f>B217*(1063)/255</f>
        <v>892.08627450980396</v>
      </c>
      <c r="H217" s="153" t="str">
        <f>"," &amp;ROUND(G217/10,0)</f>
        <v>,89</v>
      </c>
      <c r="K217" s="63">
        <v>209</v>
      </c>
      <c r="M217" s="73">
        <f t="shared" si="62"/>
        <v>2.1</v>
      </c>
      <c r="O217" s="72">
        <f t="shared" si="63"/>
        <v>16.78</v>
      </c>
      <c r="Q217" s="73">
        <f t="shared" si="64"/>
        <v>-9.6</v>
      </c>
      <c r="R217" s="39" t="str">
        <f t="shared" si="65"/>
        <v>6D</v>
      </c>
      <c r="T217" s="77">
        <f t="shared" si="66"/>
        <v>104.3</v>
      </c>
      <c r="U217" s="155">
        <f t="shared" si="67"/>
        <v>144.30000000000001</v>
      </c>
      <c r="V217" s="39" t="str">
        <f t="shared" si="68"/>
        <v>,0x90</v>
      </c>
      <c r="X217" s="77">
        <f t="shared" si="69"/>
        <v>104.3</v>
      </c>
      <c r="Y217" s="155">
        <f t="shared" si="70"/>
        <v>144.30000000000001</v>
      </c>
      <c r="Z217" s="39" t="str">
        <f t="shared" si="71"/>
        <v>,0x90</v>
      </c>
      <c r="AB217" s="73">
        <f t="shared" si="72"/>
        <v>68</v>
      </c>
      <c r="AD217" s="157">
        <f t="shared" si="73"/>
        <v>0.42799999999999999</v>
      </c>
      <c r="AE217" s="157">
        <f t="shared" si="74"/>
        <v>109.57</v>
      </c>
      <c r="AG217" s="63" t="str">
        <f t="shared" si="75"/>
        <v>D6</v>
      </c>
      <c r="AJ217" s="63" t="str">
        <f t="shared" si="76"/>
        <v>D6</v>
      </c>
      <c r="AM217" s="63" t="str">
        <f t="shared" si="77"/>
        <v>D6</v>
      </c>
      <c r="AP217" s="63" t="str">
        <f t="shared" si="78"/>
        <v>D6</v>
      </c>
      <c r="AS217" s="63" t="str">
        <f t="shared" si="79"/>
        <v>D6</v>
      </c>
    </row>
    <row r="218" spans="1:45">
      <c r="A218" s="35" t="str">
        <f t="shared" si="60"/>
        <v>,210</v>
      </c>
      <c r="B218" s="35">
        <v>215</v>
      </c>
      <c r="C218" s="35" t="str">
        <f t="shared" si="61"/>
        <v>D7</v>
      </c>
      <c r="D218" s="73">
        <f>ROUND(B218*((100-9.48)/255) +9.48,1)</f>
        <v>85.8</v>
      </c>
      <c r="E218" s="39" t="str">
        <f>",0x" &amp;DEC2HEX(ROUND(D218,0))</f>
        <v>,0x56</v>
      </c>
      <c r="G218" s="76">
        <f>B218*(1063)/255</f>
        <v>896.25490196078431</v>
      </c>
      <c r="H218" s="153" t="str">
        <f>"," &amp;ROUND(G218/10,0)</f>
        <v>,90</v>
      </c>
      <c r="K218" s="63">
        <v>210</v>
      </c>
      <c r="M218" s="73">
        <f t="shared" si="62"/>
        <v>2.11</v>
      </c>
      <c r="O218" s="72">
        <f t="shared" si="63"/>
        <v>16.86</v>
      </c>
      <c r="Q218" s="73">
        <f t="shared" si="64"/>
        <v>-9.4</v>
      </c>
      <c r="R218" s="39" t="str">
        <f t="shared" si="65"/>
        <v>6D</v>
      </c>
      <c r="T218" s="77">
        <f t="shared" si="66"/>
        <v>104.9</v>
      </c>
      <c r="U218" s="155">
        <f t="shared" si="67"/>
        <v>144.9</v>
      </c>
      <c r="V218" s="39" t="str">
        <f t="shared" si="68"/>
        <v>,0x90</v>
      </c>
      <c r="X218" s="77">
        <f t="shared" si="69"/>
        <v>104.9</v>
      </c>
      <c r="Y218" s="155">
        <f t="shared" si="70"/>
        <v>144.9</v>
      </c>
      <c r="Z218" s="39" t="str">
        <f t="shared" si="71"/>
        <v>,0x90</v>
      </c>
      <c r="AB218" s="73">
        <f t="shared" si="72"/>
        <v>69</v>
      </c>
      <c r="AD218" s="157">
        <f t="shared" si="73"/>
        <v>0.43</v>
      </c>
      <c r="AE218" s="157">
        <f t="shared" si="74"/>
        <v>110.08199999999999</v>
      </c>
      <c r="AG218" s="63" t="str">
        <f t="shared" si="75"/>
        <v>D7</v>
      </c>
      <c r="AJ218" s="63" t="str">
        <f t="shared" si="76"/>
        <v>D7</v>
      </c>
      <c r="AM218" s="63" t="str">
        <f t="shared" si="77"/>
        <v>D7</v>
      </c>
      <c r="AP218" s="63" t="str">
        <f t="shared" si="78"/>
        <v>D7</v>
      </c>
      <c r="AS218" s="63" t="str">
        <f t="shared" si="79"/>
        <v>D7</v>
      </c>
    </row>
    <row r="219" spans="1:45">
      <c r="A219" s="35" t="str">
        <f t="shared" si="60"/>
        <v>,211</v>
      </c>
      <c r="B219" s="35">
        <v>216</v>
      </c>
      <c r="C219" s="35" t="str">
        <f t="shared" si="61"/>
        <v>D8</v>
      </c>
      <c r="D219" s="73">
        <f>ROUND(B219*((100-9.48)/255) +9.48,1)</f>
        <v>86.2</v>
      </c>
      <c r="E219" s="39" t="str">
        <f>",0x" &amp;DEC2HEX(ROUND(D219,0))</f>
        <v>,0x56</v>
      </c>
      <c r="G219" s="76">
        <f>B219*(1063)/255</f>
        <v>900.42352941176466</v>
      </c>
      <c r="H219" s="153" t="str">
        <f>"," &amp;ROUND(G219/10,0)</f>
        <v>,90</v>
      </c>
      <c r="K219" s="63">
        <v>211</v>
      </c>
      <c r="M219" s="73">
        <f t="shared" si="62"/>
        <v>2.12</v>
      </c>
      <c r="O219" s="72">
        <f t="shared" si="63"/>
        <v>16.940000000000001</v>
      </c>
      <c r="Q219" s="73">
        <f t="shared" si="64"/>
        <v>-9.1999999999999993</v>
      </c>
      <c r="R219" s="39" t="str">
        <f t="shared" si="65"/>
        <v>6E</v>
      </c>
      <c r="T219" s="77">
        <f t="shared" si="66"/>
        <v>105.5</v>
      </c>
      <c r="U219" s="155">
        <f t="shared" si="67"/>
        <v>145.5</v>
      </c>
      <c r="V219" s="39" t="str">
        <f t="shared" si="68"/>
        <v>,0x91</v>
      </c>
      <c r="X219" s="77">
        <f t="shared" si="69"/>
        <v>105.5</v>
      </c>
      <c r="Y219" s="155">
        <f t="shared" si="70"/>
        <v>145.5</v>
      </c>
      <c r="Z219" s="39" t="str">
        <f t="shared" si="71"/>
        <v>,0x91</v>
      </c>
      <c r="AB219" s="73">
        <f t="shared" si="72"/>
        <v>69</v>
      </c>
      <c r="AD219" s="157">
        <f t="shared" si="73"/>
        <v>0.432</v>
      </c>
      <c r="AE219" s="157">
        <f t="shared" si="74"/>
        <v>110.59399999999999</v>
      </c>
      <c r="AG219" s="63" t="str">
        <f t="shared" si="75"/>
        <v>D8</v>
      </c>
      <c r="AJ219" s="63" t="str">
        <f t="shared" si="76"/>
        <v>D8</v>
      </c>
      <c r="AM219" s="63" t="str">
        <f t="shared" si="77"/>
        <v>D8</v>
      </c>
      <c r="AP219" s="63" t="str">
        <f t="shared" si="78"/>
        <v>D8</v>
      </c>
      <c r="AS219" s="63" t="str">
        <f t="shared" si="79"/>
        <v>D8</v>
      </c>
    </row>
    <row r="220" spans="1:45">
      <c r="A220" s="35" t="str">
        <f t="shared" si="60"/>
        <v>,212</v>
      </c>
      <c r="B220" s="35">
        <v>217</v>
      </c>
      <c r="C220" s="35" t="str">
        <f t="shared" si="61"/>
        <v>D9</v>
      </c>
      <c r="D220" s="73">
        <f>ROUND(B220*((100-9.48)/255) +9.48,1)</f>
        <v>86.5</v>
      </c>
      <c r="E220" s="39" t="str">
        <f>",0x" &amp;DEC2HEX(ROUND(D220,0))</f>
        <v>,0x57</v>
      </c>
      <c r="G220" s="76">
        <f>B220*(1063)/255</f>
        <v>904.59215686274513</v>
      </c>
      <c r="H220" s="153" t="str">
        <f>"," &amp;ROUND(G220/10,0)</f>
        <v>,90</v>
      </c>
      <c r="K220" s="63">
        <v>212</v>
      </c>
      <c r="M220" s="73">
        <f t="shared" si="62"/>
        <v>2.13</v>
      </c>
      <c r="O220" s="72">
        <f t="shared" si="63"/>
        <v>17.02</v>
      </c>
      <c r="Q220" s="73">
        <f t="shared" si="64"/>
        <v>-8.9</v>
      </c>
      <c r="R220" s="39" t="str">
        <f t="shared" si="65"/>
        <v>6E</v>
      </c>
      <c r="T220" s="77">
        <f t="shared" si="66"/>
        <v>106.2</v>
      </c>
      <c r="U220" s="155">
        <f t="shared" si="67"/>
        <v>146.19999999999999</v>
      </c>
      <c r="V220" s="39" t="str">
        <f t="shared" si="68"/>
        <v>,0x92</v>
      </c>
      <c r="X220" s="77">
        <f t="shared" si="69"/>
        <v>106.2</v>
      </c>
      <c r="Y220" s="155">
        <f t="shared" si="70"/>
        <v>146.19999999999999</v>
      </c>
      <c r="Z220" s="39" t="str">
        <f t="shared" si="71"/>
        <v>,0x92</v>
      </c>
      <c r="AB220" s="73">
        <f t="shared" si="72"/>
        <v>70</v>
      </c>
      <c r="AD220" s="157">
        <f t="shared" si="73"/>
        <v>0.434</v>
      </c>
      <c r="AE220" s="157">
        <f t="shared" si="74"/>
        <v>111.10599999999999</v>
      </c>
      <c r="AG220" s="63" t="str">
        <f t="shared" si="75"/>
        <v>D9</v>
      </c>
      <c r="AJ220" s="63" t="str">
        <f t="shared" si="76"/>
        <v>D9</v>
      </c>
      <c r="AM220" s="63" t="str">
        <f t="shared" si="77"/>
        <v>D9</v>
      </c>
      <c r="AP220" s="63" t="str">
        <f t="shared" si="78"/>
        <v>D9</v>
      </c>
      <c r="AS220" s="63" t="str">
        <f t="shared" si="79"/>
        <v>D9</v>
      </c>
    </row>
    <row r="221" spans="1:45">
      <c r="A221" s="35" t="str">
        <f t="shared" si="60"/>
        <v>,213</v>
      </c>
      <c r="B221" s="35">
        <v>218</v>
      </c>
      <c r="C221" s="35" t="str">
        <f t="shared" si="61"/>
        <v>DA</v>
      </c>
      <c r="D221" s="73">
        <f>ROUND(B221*((100-9.48)/255) +9.48,1)</f>
        <v>86.9</v>
      </c>
      <c r="E221" s="39" t="str">
        <f>",0x" &amp;DEC2HEX(ROUND(D221,0))</f>
        <v>,0x57</v>
      </c>
      <c r="G221" s="76">
        <f>B221*(1063)/255</f>
        <v>908.76078431372548</v>
      </c>
      <c r="H221" s="153" t="str">
        <f>"," &amp;ROUND(G221/10,0)</f>
        <v>,91</v>
      </c>
      <c r="K221" s="63">
        <v>213</v>
      </c>
      <c r="M221" s="73">
        <f t="shared" si="62"/>
        <v>2.14</v>
      </c>
      <c r="O221" s="72">
        <f t="shared" si="63"/>
        <v>17.100000000000001</v>
      </c>
      <c r="Q221" s="73">
        <f t="shared" si="64"/>
        <v>-8.6999999999999993</v>
      </c>
      <c r="R221" s="39" t="str">
        <f t="shared" si="65"/>
        <v>6F</v>
      </c>
      <c r="T221" s="77">
        <f t="shared" si="66"/>
        <v>106.8</v>
      </c>
      <c r="U221" s="155">
        <f t="shared" si="67"/>
        <v>146.80000000000001</v>
      </c>
      <c r="V221" s="39" t="str">
        <f t="shared" si="68"/>
        <v>,0x92</v>
      </c>
      <c r="X221" s="77">
        <f t="shared" si="69"/>
        <v>106.8</v>
      </c>
      <c r="Y221" s="155">
        <f t="shared" si="70"/>
        <v>146.80000000000001</v>
      </c>
      <c r="Z221" s="39" t="str">
        <f t="shared" si="71"/>
        <v>,0x92</v>
      </c>
      <c r="AB221" s="73">
        <f t="shared" si="72"/>
        <v>71</v>
      </c>
      <c r="AD221" s="157">
        <f t="shared" si="73"/>
        <v>0.436</v>
      </c>
      <c r="AE221" s="157">
        <f t="shared" si="74"/>
        <v>111.61799999999999</v>
      </c>
      <c r="AG221" s="63" t="str">
        <f t="shared" si="75"/>
        <v>DA</v>
      </c>
      <c r="AJ221" s="63" t="str">
        <f t="shared" si="76"/>
        <v>DA</v>
      </c>
      <c r="AM221" s="63" t="str">
        <f t="shared" si="77"/>
        <v>DA</v>
      </c>
      <c r="AP221" s="63" t="str">
        <f t="shared" si="78"/>
        <v>DA</v>
      </c>
      <c r="AS221" s="63" t="str">
        <f t="shared" si="79"/>
        <v>DA</v>
      </c>
    </row>
    <row r="222" spans="1:45">
      <c r="A222" s="35" t="str">
        <f t="shared" si="60"/>
        <v>,214</v>
      </c>
      <c r="B222" s="35">
        <v>219</v>
      </c>
      <c r="C222" s="35" t="str">
        <f t="shared" si="61"/>
        <v>DB</v>
      </c>
      <c r="D222" s="73">
        <f>ROUND(B222*((100-9.48)/255) +9.48,1)</f>
        <v>87.2</v>
      </c>
      <c r="E222" s="39" t="str">
        <f>",0x" &amp;DEC2HEX(ROUND(D222,0))</f>
        <v>,0x57</v>
      </c>
      <c r="G222" s="76">
        <f>B222*(1063)/255</f>
        <v>912.92941176470583</v>
      </c>
      <c r="H222" s="153" t="str">
        <f>"," &amp;ROUND(G222/10,0)</f>
        <v>,91</v>
      </c>
      <c r="K222" s="63">
        <v>214</v>
      </c>
      <c r="M222" s="73">
        <f t="shared" si="62"/>
        <v>2.15</v>
      </c>
      <c r="O222" s="72">
        <f t="shared" si="63"/>
        <v>17.18</v>
      </c>
      <c r="Q222" s="73">
        <f t="shared" si="64"/>
        <v>-8.5</v>
      </c>
      <c r="R222" s="39" t="str">
        <f t="shared" si="65"/>
        <v>6F</v>
      </c>
      <c r="T222" s="77">
        <f t="shared" si="66"/>
        <v>107.4</v>
      </c>
      <c r="U222" s="155">
        <f t="shared" si="67"/>
        <v>147.4</v>
      </c>
      <c r="V222" s="39" t="str">
        <f t="shared" si="68"/>
        <v>,0x93</v>
      </c>
      <c r="X222" s="77">
        <f t="shared" si="69"/>
        <v>107.4</v>
      </c>
      <c r="Y222" s="155">
        <f t="shared" si="70"/>
        <v>147.4</v>
      </c>
      <c r="Z222" s="39" t="str">
        <f t="shared" si="71"/>
        <v>,0x93</v>
      </c>
      <c r="AB222" s="73">
        <f t="shared" si="72"/>
        <v>72</v>
      </c>
      <c r="AD222" s="157">
        <f t="shared" si="73"/>
        <v>0.438</v>
      </c>
      <c r="AE222" s="157">
        <f t="shared" si="74"/>
        <v>112.13</v>
      </c>
      <c r="AG222" s="63" t="str">
        <f t="shared" si="75"/>
        <v>DB</v>
      </c>
      <c r="AJ222" s="63" t="str">
        <f t="shared" si="76"/>
        <v>DB</v>
      </c>
      <c r="AM222" s="63" t="str">
        <f t="shared" si="77"/>
        <v>DB</v>
      </c>
      <c r="AP222" s="63" t="str">
        <f t="shared" si="78"/>
        <v>DB</v>
      </c>
      <c r="AS222" s="63" t="str">
        <f t="shared" si="79"/>
        <v>DB</v>
      </c>
    </row>
    <row r="223" spans="1:45">
      <c r="A223" s="35" t="str">
        <f t="shared" si="60"/>
        <v>,215</v>
      </c>
      <c r="B223" s="35">
        <v>220</v>
      </c>
      <c r="C223" s="35" t="str">
        <f t="shared" si="61"/>
        <v>DC</v>
      </c>
      <c r="D223" s="73">
        <f>ROUND(B223*((100-9.48)/255) +9.48,1)</f>
        <v>87.6</v>
      </c>
      <c r="E223" s="39" t="str">
        <f>",0x" &amp;DEC2HEX(ROUND(D223,0))</f>
        <v>,0x58</v>
      </c>
      <c r="G223" s="76">
        <f>B223*(1063)/255</f>
        <v>917.0980392156863</v>
      </c>
      <c r="H223" s="153" t="str">
        <f>"," &amp;ROUND(G223/10,0)</f>
        <v>,92</v>
      </c>
      <c r="K223" s="63">
        <v>215</v>
      </c>
      <c r="M223" s="73">
        <f t="shared" si="62"/>
        <v>2.16</v>
      </c>
      <c r="O223" s="72">
        <f t="shared" si="63"/>
        <v>17.25</v>
      </c>
      <c r="Q223" s="73">
        <f t="shared" si="64"/>
        <v>-8.1999999999999993</v>
      </c>
      <c r="R223" s="39" t="str">
        <f t="shared" si="65"/>
        <v>70</v>
      </c>
      <c r="T223" s="77">
        <f t="shared" si="66"/>
        <v>108</v>
      </c>
      <c r="U223" s="155">
        <f t="shared" si="67"/>
        <v>148</v>
      </c>
      <c r="V223" s="39" t="str">
        <f t="shared" si="68"/>
        <v>,0x94</v>
      </c>
      <c r="X223" s="77">
        <f t="shared" si="69"/>
        <v>108</v>
      </c>
      <c r="Y223" s="155">
        <f t="shared" si="70"/>
        <v>148</v>
      </c>
      <c r="Z223" s="39" t="str">
        <f t="shared" si="71"/>
        <v>,0x94</v>
      </c>
      <c r="AB223" s="73">
        <f t="shared" si="72"/>
        <v>73</v>
      </c>
      <c r="AD223" s="157">
        <f t="shared" si="73"/>
        <v>0.44</v>
      </c>
      <c r="AE223" s="157">
        <f t="shared" si="74"/>
        <v>112.642</v>
      </c>
      <c r="AG223" s="63" t="str">
        <f t="shared" si="75"/>
        <v>DC</v>
      </c>
      <c r="AJ223" s="63" t="str">
        <f t="shared" si="76"/>
        <v>DC</v>
      </c>
      <c r="AM223" s="63" t="str">
        <f t="shared" si="77"/>
        <v>DC</v>
      </c>
      <c r="AP223" s="63" t="str">
        <f t="shared" si="78"/>
        <v>DC</v>
      </c>
      <c r="AS223" s="63" t="str">
        <f t="shared" si="79"/>
        <v>DC</v>
      </c>
    </row>
    <row r="224" spans="1:45">
      <c r="A224" s="35" t="str">
        <f t="shared" si="60"/>
        <v>,216</v>
      </c>
      <c r="B224" s="35">
        <v>221</v>
      </c>
      <c r="C224" s="35" t="str">
        <f t="shared" si="61"/>
        <v>DD</v>
      </c>
      <c r="D224" s="73">
        <f>ROUND(B224*((100-9.48)/255) +9.48,1)</f>
        <v>87.9</v>
      </c>
      <c r="E224" s="39" t="str">
        <f>",0x" &amp;DEC2HEX(ROUND(D224,0))</f>
        <v>,0x58</v>
      </c>
      <c r="G224" s="76">
        <f>B224*(1063)/255</f>
        <v>921.26666666666665</v>
      </c>
      <c r="H224" s="153" t="str">
        <f>"," &amp;ROUND(G224/10,0)</f>
        <v>,92</v>
      </c>
      <c r="K224" s="63">
        <v>216</v>
      </c>
      <c r="M224" s="73">
        <f t="shared" si="62"/>
        <v>2.17</v>
      </c>
      <c r="O224" s="72">
        <f t="shared" si="63"/>
        <v>17.329999999999998</v>
      </c>
      <c r="Q224" s="73">
        <f t="shared" si="64"/>
        <v>-8</v>
      </c>
      <c r="R224" s="39" t="str">
        <f t="shared" si="65"/>
        <v>70</v>
      </c>
      <c r="T224" s="77">
        <f t="shared" si="66"/>
        <v>108.7</v>
      </c>
      <c r="U224" s="155">
        <f t="shared" si="67"/>
        <v>148.69999999999999</v>
      </c>
      <c r="V224" s="39" t="str">
        <f t="shared" si="68"/>
        <v>,0x94</v>
      </c>
      <c r="X224" s="77">
        <f t="shared" si="69"/>
        <v>108.7</v>
      </c>
      <c r="Y224" s="155">
        <f t="shared" si="70"/>
        <v>148.69999999999999</v>
      </c>
      <c r="Z224" s="39" t="str">
        <f t="shared" si="71"/>
        <v>,0x94</v>
      </c>
      <c r="AB224" s="73">
        <f t="shared" si="72"/>
        <v>73</v>
      </c>
      <c r="AD224" s="157">
        <f t="shared" si="73"/>
        <v>0.442</v>
      </c>
      <c r="AE224" s="157">
        <f t="shared" si="74"/>
        <v>113.154</v>
      </c>
      <c r="AG224" s="63" t="str">
        <f t="shared" si="75"/>
        <v>DD</v>
      </c>
      <c r="AJ224" s="63" t="str">
        <f t="shared" si="76"/>
        <v>DD</v>
      </c>
      <c r="AM224" s="63" t="str">
        <f t="shared" si="77"/>
        <v>DD</v>
      </c>
      <c r="AP224" s="63" t="str">
        <f t="shared" si="78"/>
        <v>DD</v>
      </c>
      <c r="AS224" s="63" t="str">
        <f t="shared" si="79"/>
        <v>DD</v>
      </c>
    </row>
    <row r="225" spans="1:45">
      <c r="A225" s="35" t="str">
        <f t="shared" si="60"/>
        <v>,217</v>
      </c>
      <c r="B225" s="35">
        <v>222</v>
      </c>
      <c r="C225" s="35" t="str">
        <f t="shared" si="61"/>
        <v>DE</v>
      </c>
      <c r="D225" s="73">
        <f>ROUND(B225*((100-9.48)/255) +9.48,1)</f>
        <v>88.3</v>
      </c>
      <c r="E225" s="39" t="str">
        <f>",0x" &amp;DEC2HEX(ROUND(D225,0))</f>
        <v>,0x58</v>
      </c>
      <c r="G225" s="76">
        <f>B225*(1063)/255</f>
        <v>925.435294117647</v>
      </c>
      <c r="H225" s="153" t="str">
        <f>"," &amp;ROUND(G225/10,0)</f>
        <v>,93</v>
      </c>
      <c r="K225" s="63">
        <v>217</v>
      </c>
      <c r="M225" s="73">
        <f t="shared" si="62"/>
        <v>2.1800000000000002</v>
      </c>
      <c r="O225" s="72">
        <f t="shared" si="63"/>
        <v>17.41</v>
      </c>
      <c r="Q225" s="73">
        <f t="shared" si="64"/>
        <v>-7.8</v>
      </c>
      <c r="R225" s="39" t="str">
        <f t="shared" si="65"/>
        <v>70</v>
      </c>
      <c r="T225" s="77">
        <f t="shared" si="66"/>
        <v>109.3</v>
      </c>
      <c r="U225" s="155">
        <f t="shared" si="67"/>
        <v>149.30000000000001</v>
      </c>
      <c r="V225" s="39" t="str">
        <f t="shared" si="68"/>
        <v>,0x95</v>
      </c>
      <c r="X225" s="77">
        <f t="shared" si="69"/>
        <v>109.3</v>
      </c>
      <c r="Y225" s="155">
        <f t="shared" si="70"/>
        <v>149.30000000000001</v>
      </c>
      <c r="Z225" s="39" t="str">
        <f t="shared" si="71"/>
        <v>,0x95</v>
      </c>
      <c r="AB225" s="73">
        <f t="shared" si="72"/>
        <v>74</v>
      </c>
      <c r="AD225" s="157">
        <f t="shared" si="73"/>
        <v>0.44400000000000001</v>
      </c>
      <c r="AE225" s="157">
        <f t="shared" si="74"/>
        <v>113.666</v>
      </c>
      <c r="AG225" s="63" t="str">
        <f t="shared" si="75"/>
        <v>DE</v>
      </c>
      <c r="AJ225" s="63" t="str">
        <f t="shared" si="76"/>
        <v>DE</v>
      </c>
      <c r="AM225" s="63" t="str">
        <f t="shared" si="77"/>
        <v>DE</v>
      </c>
      <c r="AP225" s="63" t="str">
        <f t="shared" si="78"/>
        <v>DE</v>
      </c>
      <c r="AS225" s="63" t="str">
        <f t="shared" si="79"/>
        <v>DE</v>
      </c>
    </row>
    <row r="226" spans="1:45">
      <c r="A226" s="35" t="str">
        <f t="shared" si="60"/>
        <v>,218</v>
      </c>
      <c r="B226" s="35">
        <v>223</v>
      </c>
      <c r="C226" s="35" t="str">
        <f t="shared" si="61"/>
        <v>DF</v>
      </c>
      <c r="D226" s="73">
        <f>ROUND(B226*((100-9.48)/255) +9.48,1)</f>
        <v>88.6</v>
      </c>
      <c r="E226" s="39" t="str">
        <f>",0x" &amp;DEC2HEX(ROUND(D226,0))</f>
        <v>,0x59</v>
      </c>
      <c r="G226" s="76">
        <f>B226*(1063)/255</f>
        <v>929.60392156862747</v>
      </c>
      <c r="H226" s="153" t="str">
        <f>"," &amp;ROUND(G226/10,0)</f>
        <v>,93</v>
      </c>
      <c r="K226" s="63">
        <v>218</v>
      </c>
      <c r="M226" s="73">
        <f t="shared" si="62"/>
        <v>2.19</v>
      </c>
      <c r="O226" s="72">
        <f t="shared" si="63"/>
        <v>17.489999999999998</v>
      </c>
      <c r="Q226" s="73">
        <f t="shared" si="64"/>
        <v>-7.5</v>
      </c>
      <c r="R226" s="39" t="str">
        <f t="shared" si="65"/>
        <v>71</v>
      </c>
      <c r="T226" s="77">
        <f t="shared" si="66"/>
        <v>109.9</v>
      </c>
      <c r="U226" s="155">
        <f t="shared" si="67"/>
        <v>149.9</v>
      </c>
      <c r="V226" s="39" t="str">
        <f t="shared" si="68"/>
        <v>,0x95</v>
      </c>
      <c r="X226" s="77">
        <f t="shared" si="69"/>
        <v>109.9</v>
      </c>
      <c r="Y226" s="155">
        <f t="shared" si="70"/>
        <v>149.9</v>
      </c>
      <c r="Z226" s="39" t="str">
        <f t="shared" si="71"/>
        <v>,0x95</v>
      </c>
      <c r="AB226" s="73">
        <f t="shared" si="72"/>
        <v>75</v>
      </c>
      <c r="AD226" s="157">
        <f t="shared" si="73"/>
        <v>0.44600000000000001</v>
      </c>
      <c r="AE226" s="157">
        <f t="shared" si="74"/>
        <v>114.178</v>
      </c>
      <c r="AG226" s="63" t="str">
        <f t="shared" si="75"/>
        <v>DF</v>
      </c>
      <c r="AJ226" s="63" t="str">
        <f t="shared" si="76"/>
        <v>DF</v>
      </c>
      <c r="AM226" s="63" t="str">
        <f t="shared" si="77"/>
        <v>DF</v>
      </c>
      <c r="AP226" s="63" t="str">
        <f t="shared" si="78"/>
        <v>DF</v>
      </c>
      <c r="AS226" s="63" t="str">
        <f t="shared" si="79"/>
        <v>DF</v>
      </c>
    </row>
    <row r="227" spans="1:45">
      <c r="A227" s="35" t="str">
        <f t="shared" si="60"/>
        <v>,219</v>
      </c>
      <c r="B227" s="35">
        <v>224</v>
      </c>
      <c r="C227" s="35" t="str">
        <f t="shared" si="61"/>
        <v>E0</v>
      </c>
      <c r="D227" s="73">
        <f>ROUND(B227*((100-9.48)/255) +9.48,1)</f>
        <v>89</v>
      </c>
      <c r="E227" s="39" t="str">
        <f>",0x" &amp;DEC2HEX(ROUND(D227,0))</f>
        <v>,0x59</v>
      </c>
      <c r="G227" s="76">
        <f>B227*(1063)/255</f>
        <v>933.77254901960782</v>
      </c>
      <c r="H227" s="153" t="str">
        <f>"," &amp;ROUND(G227/10,0)</f>
        <v>,93</v>
      </c>
      <c r="K227" s="63">
        <v>219</v>
      </c>
      <c r="M227" s="73">
        <f t="shared" si="62"/>
        <v>2.2000000000000002</v>
      </c>
      <c r="O227" s="72">
        <f t="shared" si="63"/>
        <v>17.57</v>
      </c>
      <c r="Q227" s="73">
        <f t="shared" si="64"/>
        <v>-7.3</v>
      </c>
      <c r="R227" s="39" t="str">
        <f t="shared" si="65"/>
        <v>71</v>
      </c>
      <c r="T227" s="77">
        <f t="shared" si="66"/>
        <v>110.5</v>
      </c>
      <c r="U227" s="155">
        <f t="shared" si="67"/>
        <v>150.5</v>
      </c>
      <c r="V227" s="39" t="str">
        <f t="shared" si="68"/>
        <v>,0x96</v>
      </c>
      <c r="X227" s="77">
        <f t="shared" si="69"/>
        <v>110.5</v>
      </c>
      <c r="Y227" s="155">
        <f t="shared" si="70"/>
        <v>150.5</v>
      </c>
      <c r="Z227" s="39" t="str">
        <f t="shared" si="71"/>
        <v>,0x96</v>
      </c>
      <c r="AB227" s="73">
        <f t="shared" si="72"/>
        <v>76</v>
      </c>
      <c r="AD227" s="157">
        <f t="shared" si="73"/>
        <v>0.44800000000000001</v>
      </c>
      <c r="AE227" s="157">
        <f t="shared" si="74"/>
        <v>114.69</v>
      </c>
      <c r="AG227" s="63" t="str">
        <f t="shared" si="75"/>
        <v>E0</v>
      </c>
      <c r="AJ227" s="63" t="str">
        <f t="shared" si="76"/>
        <v>E0</v>
      </c>
      <c r="AM227" s="63" t="str">
        <f t="shared" si="77"/>
        <v>E0</v>
      </c>
      <c r="AP227" s="63" t="str">
        <f t="shared" si="78"/>
        <v>E0</v>
      </c>
      <c r="AS227" s="63" t="str">
        <f t="shared" si="79"/>
        <v>E0</v>
      </c>
    </row>
    <row r="228" spans="1:45">
      <c r="A228" s="35" t="str">
        <f t="shared" si="60"/>
        <v>,220</v>
      </c>
      <c r="B228" s="35">
        <v>225</v>
      </c>
      <c r="C228" s="35" t="str">
        <f t="shared" si="61"/>
        <v>E1</v>
      </c>
      <c r="D228" s="73">
        <f>ROUND(B228*((100-9.48)/255) +9.48,1)</f>
        <v>89.4</v>
      </c>
      <c r="E228" s="39" t="str">
        <f>",0x" &amp;DEC2HEX(ROUND(D228,0))</f>
        <v>,0x59</v>
      </c>
      <c r="G228" s="76">
        <f>B228*(1063)/255</f>
        <v>937.94117647058829</v>
      </c>
      <c r="H228" s="153" t="str">
        <f>"," &amp;ROUND(G228/10,0)</f>
        <v>,94</v>
      </c>
      <c r="K228" s="63">
        <v>220</v>
      </c>
      <c r="M228" s="73">
        <f t="shared" si="62"/>
        <v>2.21</v>
      </c>
      <c r="O228" s="72">
        <f t="shared" si="63"/>
        <v>17.649999999999999</v>
      </c>
      <c r="Q228" s="73">
        <f t="shared" si="64"/>
        <v>-7.1</v>
      </c>
      <c r="R228" s="39" t="str">
        <f t="shared" si="65"/>
        <v>72</v>
      </c>
      <c r="T228" s="77">
        <f t="shared" si="66"/>
        <v>111.2</v>
      </c>
      <c r="U228" s="155">
        <f t="shared" si="67"/>
        <v>151.19999999999999</v>
      </c>
      <c r="V228" s="39" t="str">
        <f t="shared" si="68"/>
        <v>,0x97</v>
      </c>
      <c r="X228" s="77">
        <f t="shared" si="69"/>
        <v>111.2</v>
      </c>
      <c r="Y228" s="155">
        <f t="shared" si="70"/>
        <v>151.19999999999999</v>
      </c>
      <c r="Z228" s="39" t="str">
        <f t="shared" si="71"/>
        <v>,0x97</v>
      </c>
      <c r="AB228" s="73">
        <f t="shared" si="72"/>
        <v>76</v>
      </c>
      <c r="AD228" s="157">
        <f t="shared" si="73"/>
        <v>0.45</v>
      </c>
      <c r="AE228" s="157">
        <f t="shared" si="74"/>
        <v>115.202</v>
      </c>
      <c r="AG228" s="63" t="str">
        <f t="shared" si="75"/>
        <v>E1</v>
      </c>
      <c r="AJ228" s="63" t="str">
        <f t="shared" si="76"/>
        <v>E1</v>
      </c>
      <c r="AM228" s="63" t="str">
        <f t="shared" si="77"/>
        <v>E1</v>
      </c>
      <c r="AP228" s="63" t="str">
        <f t="shared" si="78"/>
        <v>E1</v>
      </c>
      <c r="AS228" s="63" t="str">
        <f t="shared" si="79"/>
        <v>E1</v>
      </c>
    </row>
    <row r="229" spans="1:45">
      <c r="A229" s="35" t="str">
        <f t="shared" si="60"/>
        <v>,221</v>
      </c>
      <c r="B229" s="35">
        <v>226</v>
      </c>
      <c r="C229" s="35" t="str">
        <f t="shared" si="61"/>
        <v>E2</v>
      </c>
      <c r="D229" s="73">
        <f>ROUND(B229*((100-9.48)/255) +9.48,1)</f>
        <v>89.7</v>
      </c>
      <c r="E229" s="39" t="str">
        <f>",0x" &amp;DEC2HEX(ROUND(D229,0))</f>
        <v>,0x5A</v>
      </c>
      <c r="G229" s="76">
        <f>B229*(1063)/255</f>
        <v>942.10980392156864</v>
      </c>
      <c r="H229" s="153" t="str">
        <f>"," &amp;ROUND(G229/10,0)</f>
        <v>,94</v>
      </c>
      <c r="K229" s="63">
        <v>221</v>
      </c>
      <c r="M229" s="73">
        <f t="shared" si="62"/>
        <v>2.2200000000000002</v>
      </c>
      <c r="O229" s="72">
        <f t="shared" si="63"/>
        <v>17.73</v>
      </c>
      <c r="Q229" s="73">
        <f t="shared" si="64"/>
        <v>-6.8</v>
      </c>
      <c r="R229" s="39" t="str">
        <f t="shared" si="65"/>
        <v>72</v>
      </c>
      <c r="T229" s="77">
        <f t="shared" si="66"/>
        <v>111.8</v>
      </c>
      <c r="U229" s="155">
        <f t="shared" si="67"/>
        <v>151.80000000000001</v>
      </c>
      <c r="V229" s="39" t="str">
        <f t="shared" si="68"/>
        <v>,0x97</v>
      </c>
      <c r="X229" s="77">
        <f t="shared" si="69"/>
        <v>111.8</v>
      </c>
      <c r="Y229" s="155">
        <f t="shared" si="70"/>
        <v>151.80000000000001</v>
      </c>
      <c r="Z229" s="39" t="str">
        <f t="shared" si="71"/>
        <v>,0x97</v>
      </c>
      <c r="AB229" s="73">
        <f t="shared" si="72"/>
        <v>77</v>
      </c>
      <c r="AD229" s="157">
        <f t="shared" si="73"/>
        <v>0.45200000000000001</v>
      </c>
      <c r="AE229" s="157">
        <f t="shared" si="74"/>
        <v>115.714</v>
      </c>
      <c r="AG229" s="63" t="str">
        <f t="shared" si="75"/>
        <v>E2</v>
      </c>
      <c r="AJ229" s="63" t="str">
        <f t="shared" si="76"/>
        <v>E2</v>
      </c>
      <c r="AM229" s="63" t="str">
        <f t="shared" si="77"/>
        <v>E2</v>
      </c>
      <c r="AP229" s="63" t="str">
        <f t="shared" si="78"/>
        <v>E2</v>
      </c>
      <c r="AS229" s="63" t="str">
        <f t="shared" si="79"/>
        <v>E2</v>
      </c>
    </row>
    <row r="230" spans="1:45">
      <c r="A230" s="35" t="str">
        <f t="shared" si="60"/>
        <v>,222</v>
      </c>
      <c r="B230" s="35">
        <v>227</v>
      </c>
      <c r="C230" s="35" t="str">
        <f t="shared" si="61"/>
        <v>E3</v>
      </c>
      <c r="D230" s="73">
        <f>ROUND(B230*((100-9.48)/255) +9.48,1)</f>
        <v>90.1</v>
      </c>
      <c r="E230" s="39" t="str">
        <f>",0x" &amp;DEC2HEX(ROUND(D230,0))</f>
        <v>,0x5A</v>
      </c>
      <c r="G230" s="76">
        <f>B230*(1063)/255</f>
        <v>946.27843137254899</v>
      </c>
      <c r="H230" s="153" t="str">
        <f>"," &amp;ROUND(G230/10,0)</f>
        <v>,95</v>
      </c>
      <c r="K230" s="63">
        <v>222</v>
      </c>
      <c r="M230" s="73">
        <f t="shared" si="62"/>
        <v>2.23</v>
      </c>
      <c r="O230" s="72">
        <f t="shared" si="63"/>
        <v>17.8</v>
      </c>
      <c r="Q230" s="73">
        <f t="shared" si="64"/>
        <v>-6.6</v>
      </c>
      <c r="R230" s="39" t="str">
        <f t="shared" si="65"/>
        <v>73</v>
      </c>
      <c r="T230" s="77">
        <f t="shared" si="66"/>
        <v>112.4</v>
      </c>
      <c r="U230" s="155">
        <f t="shared" si="67"/>
        <v>152.4</v>
      </c>
      <c r="V230" s="39" t="str">
        <f t="shared" si="68"/>
        <v>,0x98</v>
      </c>
      <c r="X230" s="77">
        <f t="shared" si="69"/>
        <v>112.4</v>
      </c>
      <c r="Y230" s="155">
        <f t="shared" si="70"/>
        <v>152.4</v>
      </c>
      <c r="Z230" s="39" t="str">
        <f t="shared" si="71"/>
        <v>,0x98</v>
      </c>
      <c r="AB230" s="73">
        <f t="shared" si="72"/>
        <v>78</v>
      </c>
      <c r="AD230" s="157">
        <f t="shared" si="73"/>
        <v>0.45400000000000001</v>
      </c>
      <c r="AE230" s="157">
        <f t="shared" si="74"/>
        <v>116.226</v>
      </c>
      <c r="AG230" s="63" t="str">
        <f t="shared" si="75"/>
        <v>E3</v>
      </c>
      <c r="AJ230" s="63" t="str">
        <f t="shared" si="76"/>
        <v>E3</v>
      </c>
      <c r="AM230" s="63" t="str">
        <f t="shared" si="77"/>
        <v>E3</v>
      </c>
      <c r="AP230" s="63" t="str">
        <f t="shared" si="78"/>
        <v>E3</v>
      </c>
      <c r="AS230" s="63" t="str">
        <f t="shared" si="79"/>
        <v>E3</v>
      </c>
    </row>
    <row r="231" spans="1:45">
      <c r="A231" s="35" t="str">
        <f t="shared" si="60"/>
        <v>,223</v>
      </c>
      <c r="B231" s="35">
        <v>228</v>
      </c>
      <c r="C231" s="35" t="str">
        <f t="shared" si="61"/>
        <v>E4</v>
      </c>
      <c r="D231" s="73">
        <f>ROUND(B231*((100-9.48)/255) +9.48,1)</f>
        <v>90.4</v>
      </c>
      <c r="E231" s="39" t="str">
        <f>",0x" &amp;DEC2HEX(ROUND(D231,0))</f>
        <v>,0x5A</v>
      </c>
      <c r="G231" s="76">
        <f>B231*(1063)/255</f>
        <v>950.44705882352946</v>
      </c>
      <c r="H231" s="153" t="str">
        <f>"," &amp;ROUND(G231/10,0)</f>
        <v>,95</v>
      </c>
      <c r="K231" s="63">
        <v>223</v>
      </c>
      <c r="M231" s="73">
        <f t="shared" si="62"/>
        <v>2.2400000000000002</v>
      </c>
      <c r="O231" s="72">
        <f t="shared" si="63"/>
        <v>17.88</v>
      </c>
      <c r="Q231" s="73">
        <f t="shared" si="64"/>
        <v>-6.4</v>
      </c>
      <c r="R231" s="39" t="str">
        <f t="shared" si="65"/>
        <v>73</v>
      </c>
      <c r="T231" s="77">
        <f t="shared" si="66"/>
        <v>113.1</v>
      </c>
      <c r="U231" s="155">
        <f t="shared" si="67"/>
        <v>153.1</v>
      </c>
      <c r="V231" s="39" t="str">
        <f t="shared" si="68"/>
        <v>,0x99</v>
      </c>
      <c r="X231" s="77">
        <f t="shared" si="69"/>
        <v>113.1</v>
      </c>
      <c r="Y231" s="155">
        <f t="shared" si="70"/>
        <v>153.1</v>
      </c>
      <c r="Z231" s="39" t="str">
        <f t="shared" si="71"/>
        <v>,0x99</v>
      </c>
      <c r="AB231" s="73">
        <f t="shared" si="72"/>
        <v>79</v>
      </c>
      <c r="AD231" s="157">
        <f t="shared" si="73"/>
        <v>0.45600000000000002</v>
      </c>
      <c r="AE231" s="157">
        <f t="shared" si="74"/>
        <v>116.738</v>
      </c>
      <c r="AG231" s="63" t="str">
        <f t="shared" si="75"/>
        <v>E4</v>
      </c>
      <c r="AJ231" s="63" t="str">
        <f t="shared" si="76"/>
        <v>E4</v>
      </c>
      <c r="AM231" s="63" t="str">
        <f t="shared" si="77"/>
        <v>E4</v>
      </c>
      <c r="AP231" s="63" t="str">
        <f t="shared" si="78"/>
        <v>E4</v>
      </c>
      <c r="AS231" s="63" t="str">
        <f t="shared" si="79"/>
        <v>E4</v>
      </c>
    </row>
    <row r="232" spans="1:45">
      <c r="A232" s="35" t="str">
        <f t="shared" si="60"/>
        <v>,224</v>
      </c>
      <c r="B232" s="35">
        <v>229</v>
      </c>
      <c r="C232" s="35" t="str">
        <f t="shared" si="61"/>
        <v>E5</v>
      </c>
      <c r="D232" s="73">
        <f>ROUND(B232*((100-9.48)/255) +9.48,1)</f>
        <v>90.8</v>
      </c>
      <c r="E232" s="39" t="str">
        <f>",0x" &amp;DEC2HEX(ROUND(D232,0))</f>
        <v>,0x5B</v>
      </c>
      <c r="G232" s="76">
        <f>B232*(1063)/255</f>
        <v>954.61568627450981</v>
      </c>
      <c r="H232" s="153" t="str">
        <f>"," &amp;ROUND(G232/10,0)</f>
        <v>,95</v>
      </c>
      <c r="K232" s="63">
        <v>224</v>
      </c>
      <c r="M232" s="73">
        <f t="shared" si="62"/>
        <v>2.25</v>
      </c>
      <c r="O232" s="72">
        <f t="shared" si="63"/>
        <v>17.96</v>
      </c>
      <c r="Q232" s="73">
        <f t="shared" si="64"/>
        <v>-6.1</v>
      </c>
      <c r="R232" s="39" t="str">
        <f t="shared" si="65"/>
        <v>74</v>
      </c>
      <c r="T232" s="77">
        <f t="shared" si="66"/>
        <v>113.7</v>
      </c>
      <c r="U232" s="155">
        <f t="shared" si="67"/>
        <v>153.69999999999999</v>
      </c>
      <c r="V232" s="39" t="str">
        <f t="shared" si="68"/>
        <v>,0x99</v>
      </c>
      <c r="X232" s="77">
        <f t="shared" si="69"/>
        <v>113.7</v>
      </c>
      <c r="Y232" s="155">
        <f t="shared" si="70"/>
        <v>153.69999999999999</v>
      </c>
      <c r="Z232" s="39" t="str">
        <f t="shared" si="71"/>
        <v>,0x99</v>
      </c>
      <c r="AB232" s="73">
        <f t="shared" si="72"/>
        <v>80</v>
      </c>
      <c r="AD232" s="157">
        <f t="shared" si="73"/>
        <v>0.45800000000000002</v>
      </c>
      <c r="AE232" s="157">
        <f t="shared" si="74"/>
        <v>117.25</v>
      </c>
      <c r="AG232" s="63" t="str">
        <f t="shared" si="75"/>
        <v>E5</v>
      </c>
      <c r="AJ232" s="63" t="str">
        <f t="shared" si="76"/>
        <v>E5</v>
      </c>
      <c r="AM232" s="63" t="str">
        <f t="shared" si="77"/>
        <v>E5</v>
      </c>
      <c r="AP232" s="63" t="str">
        <f t="shared" si="78"/>
        <v>E5</v>
      </c>
      <c r="AS232" s="63" t="str">
        <f t="shared" si="79"/>
        <v>E5</v>
      </c>
    </row>
    <row r="233" spans="1:45">
      <c r="A233" s="35" t="str">
        <f t="shared" si="60"/>
        <v>,225</v>
      </c>
      <c r="B233" s="35">
        <v>230</v>
      </c>
      <c r="C233" s="35" t="str">
        <f t="shared" si="61"/>
        <v>E6</v>
      </c>
      <c r="D233" s="73">
        <f>ROUND(B233*((100-9.48)/255) +9.48,1)</f>
        <v>91.1</v>
      </c>
      <c r="E233" s="39" t="str">
        <f>",0x" &amp;DEC2HEX(ROUND(D233,0))</f>
        <v>,0x5B</v>
      </c>
      <c r="G233" s="76">
        <f>B233*(1063)/255</f>
        <v>958.78431372549016</v>
      </c>
      <c r="H233" s="153" t="str">
        <f>"," &amp;ROUND(G233/10,0)</f>
        <v>,96</v>
      </c>
      <c r="K233" s="63">
        <v>225</v>
      </c>
      <c r="M233" s="73">
        <f t="shared" si="62"/>
        <v>2.25</v>
      </c>
      <c r="O233" s="72">
        <f t="shared" si="63"/>
        <v>18.04</v>
      </c>
      <c r="Q233" s="73">
        <f t="shared" si="64"/>
        <v>-5.9</v>
      </c>
      <c r="R233" s="39" t="str">
        <f t="shared" si="65"/>
        <v>74</v>
      </c>
      <c r="T233" s="77">
        <f t="shared" si="66"/>
        <v>114.3</v>
      </c>
      <c r="U233" s="155">
        <f t="shared" si="67"/>
        <v>154.30000000000001</v>
      </c>
      <c r="V233" s="39" t="str">
        <f t="shared" si="68"/>
        <v>,0x9A</v>
      </c>
      <c r="X233" s="77">
        <f t="shared" si="69"/>
        <v>114.3</v>
      </c>
      <c r="Y233" s="155">
        <f t="shared" si="70"/>
        <v>154.30000000000001</v>
      </c>
      <c r="Z233" s="39" t="str">
        <f t="shared" si="71"/>
        <v>,0x9A</v>
      </c>
      <c r="AB233" s="73">
        <f t="shared" si="72"/>
        <v>80</v>
      </c>
      <c r="AD233" s="157">
        <f t="shared" si="73"/>
        <v>0.46</v>
      </c>
      <c r="AE233" s="157">
        <f t="shared" si="74"/>
        <v>117.762</v>
      </c>
      <c r="AG233" s="63" t="str">
        <f t="shared" si="75"/>
        <v>E6</v>
      </c>
      <c r="AJ233" s="63" t="str">
        <f t="shared" si="76"/>
        <v>E6</v>
      </c>
      <c r="AM233" s="63" t="str">
        <f t="shared" si="77"/>
        <v>E6</v>
      </c>
      <c r="AP233" s="63" t="str">
        <f t="shared" si="78"/>
        <v>E6</v>
      </c>
      <c r="AS233" s="63" t="str">
        <f t="shared" si="79"/>
        <v>E6</v>
      </c>
    </row>
    <row r="234" spans="1:45">
      <c r="A234" s="35" t="str">
        <f t="shared" si="60"/>
        <v>,226</v>
      </c>
      <c r="B234" s="35">
        <v>231</v>
      </c>
      <c r="C234" s="35" t="str">
        <f t="shared" si="61"/>
        <v>E7</v>
      </c>
      <c r="D234" s="73">
        <f>ROUND(B234*((100-9.48)/255) +9.48,1)</f>
        <v>91.5</v>
      </c>
      <c r="E234" s="39" t="str">
        <f>",0x" &amp;DEC2HEX(ROUND(D234,0))</f>
        <v>,0x5C</v>
      </c>
      <c r="G234" s="76">
        <f>B234*(1063)/255</f>
        <v>962.95294117647063</v>
      </c>
      <c r="H234" s="153" t="str">
        <f>"," &amp;ROUND(G234/10,0)</f>
        <v>,96</v>
      </c>
      <c r="K234" s="63">
        <v>226</v>
      </c>
      <c r="M234" s="73">
        <f t="shared" si="62"/>
        <v>2.2599999999999998</v>
      </c>
      <c r="O234" s="72">
        <f t="shared" si="63"/>
        <v>18.12</v>
      </c>
      <c r="Q234" s="73">
        <f t="shared" si="64"/>
        <v>-5.6</v>
      </c>
      <c r="R234" s="39" t="str">
        <f t="shared" si="65"/>
        <v>75</v>
      </c>
      <c r="T234" s="77">
        <f t="shared" si="66"/>
        <v>114.9</v>
      </c>
      <c r="U234" s="155">
        <f t="shared" si="67"/>
        <v>154.9</v>
      </c>
      <c r="V234" s="39" t="str">
        <f t="shared" si="68"/>
        <v>,0x9A</v>
      </c>
      <c r="X234" s="77">
        <f t="shared" si="69"/>
        <v>114.9</v>
      </c>
      <c r="Y234" s="155">
        <f t="shared" si="70"/>
        <v>154.9</v>
      </c>
      <c r="Z234" s="39" t="str">
        <f t="shared" si="71"/>
        <v>,0x9A</v>
      </c>
      <c r="AB234" s="73">
        <f t="shared" si="72"/>
        <v>81</v>
      </c>
      <c r="AD234" s="157">
        <f t="shared" si="73"/>
        <v>0.46200000000000002</v>
      </c>
      <c r="AE234" s="157">
        <f t="shared" si="74"/>
        <v>118.274</v>
      </c>
      <c r="AG234" s="63" t="str">
        <f t="shared" si="75"/>
        <v>E7</v>
      </c>
      <c r="AJ234" s="63" t="str">
        <f t="shared" si="76"/>
        <v>E7</v>
      </c>
      <c r="AM234" s="63" t="str">
        <f t="shared" si="77"/>
        <v>E7</v>
      </c>
      <c r="AP234" s="63" t="str">
        <f t="shared" si="78"/>
        <v>E7</v>
      </c>
      <c r="AS234" s="63" t="str">
        <f t="shared" si="79"/>
        <v>E7</v>
      </c>
    </row>
    <row r="235" spans="1:45">
      <c r="A235" s="35" t="str">
        <f t="shared" si="60"/>
        <v>,227</v>
      </c>
      <c r="B235" s="35">
        <v>232</v>
      </c>
      <c r="C235" s="35" t="str">
        <f t="shared" si="61"/>
        <v>E8</v>
      </c>
      <c r="D235" s="73">
        <f>ROUND(B235*((100-9.48)/255) +9.48,1)</f>
        <v>91.8</v>
      </c>
      <c r="E235" s="39" t="str">
        <f>",0x" &amp;DEC2HEX(ROUND(D235,0))</f>
        <v>,0x5C</v>
      </c>
      <c r="G235" s="76">
        <f>B235*(1063)/255</f>
        <v>967.12156862745098</v>
      </c>
      <c r="H235" s="153" t="str">
        <f>"," &amp;ROUND(G235/10,0)</f>
        <v>,97</v>
      </c>
      <c r="K235" s="63">
        <v>227</v>
      </c>
      <c r="M235" s="73">
        <f t="shared" si="62"/>
        <v>2.27</v>
      </c>
      <c r="O235" s="72">
        <f t="shared" si="63"/>
        <v>18.2</v>
      </c>
      <c r="Q235" s="73">
        <f t="shared" si="64"/>
        <v>-5.4</v>
      </c>
      <c r="R235" s="39" t="str">
        <f t="shared" si="65"/>
        <v>75</v>
      </c>
      <c r="T235" s="77">
        <f t="shared" si="66"/>
        <v>115.6</v>
      </c>
      <c r="U235" s="155">
        <f t="shared" si="67"/>
        <v>155.6</v>
      </c>
      <c r="V235" s="39" t="str">
        <f t="shared" si="68"/>
        <v>,0x9B</v>
      </c>
      <c r="X235" s="77">
        <f t="shared" si="69"/>
        <v>115.6</v>
      </c>
      <c r="Y235" s="155">
        <f t="shared" si="70"/>
        <v>155.6</v>
      </c>
      <c r="Z235" s="39" t="str">
        <f t="shared" si="71"/>
        <v>,0x9B</v>
      </c>
      <c r="AB235" s="73">
        <f t="shared" si="72"/>
        <v>82</v>
      </c>
      <c r="AD235" s="157">
        <f t="shared" si="73"/>
        <v>0.46400000000000002</v>
      </c>
      <c r="AE235" s="157">
        <f t="shared" si="74"/>
        <v>118.786</v>
      </c>
      <c r="AG235" s="63" t="str">
        <f t="shared" si="75"/>
        <v>E8</v>
      </c>
      <c r="AJ235" s="63" t="str">
        <f t="shared" si="76"/>
        <v>E8</v>
      </c>
      <c r="AM235" s="63" t="str">
        <f t="shared" si="77"/>
        <v>E8</v>
      </c>
      <c r="AP235" s="63" t="str">
        <f t="shared" si="78"/>
        <v>E8</v>
      </c>
      <c r="AS235" s="63" t="str">
        <f t="shared" si="79"/>
        <v>E8</v>
      </c>
    </row>
    <row r="236" spans="1:45">
      <c r="A236" s="35" t="str">
        <f t="shared" si="60"/>
        <v>,228</v>
      </c>
      <c r="B236" s="35">
        <v>233</v>
      </c>
      <c r="C236" s="35" t="str">
        <f t="shared" si="61"/>
        <v>E9</v>
      </c>
      <c r="D236" s="73">
        <f>ROUND(B236*((100-9.48)/255) +9.48,1)</f>
        <v>92.2</v>
      </c>
      <c r="E236" s="39" t="str">
        <f>",0x" &amp;DEC2HEX(ROUND(D236,0))</f>
        <v>,0x5C</v>
      </c>
      <c r="G236" s="76">
        <f>B236*(1063)/255</f>
        <v>971.29019607843134</v>
      </c>
      <c r="H236" s="153" t="str">
        <f>"," &amp;ROUND(G236/10,0)</f>
        <v>,97</v>
      </c>
      <c r="K236" s="63">
        <v>228</v>
      </c>
      <c r="M236" s="73">
        <f t="shared" si="62"/>
        <v>2.2799999999999998</v>
      </c>
      <c r="O236" s="72">
        <f t="shared" si="63"/>
        <v>18.27</v>
      </c>
      <c r="Q236" s="73">
        <f t="shared" si="64"/>
        <v>-5.2</v>
      </c>
      <c r="R236" s="39" t="str">
        <f t="shared" si="65"/>
        <v>76</v>
      </c>
      <c r="T236" s="77">
        <f t="shared" si="66"/>
        <v>116.2</v>
      </c>
      <c r="U236" s="155">
        <f t="shared" si="67"/>
        <v>156.19999999999999</v>
      </c>
      <c r="V236" s="39" t="str">
        <f t="shared" si="68"/>
        <v>,0x9C</v>
      </c>
      <c r="X236" s="77">
        <f t="shared" si="69"/>
        <v>116.2</v>
      </c>
      <c r="Y236" s="155">
        <f t="shared" si="70"/>
        <v>156.19999999999999</v>
      </c>
      <c r="Z236" s="39" t="str">
        <f t="shared" si="71"/>
        <v>,0x9C</v>
      </c>
      <c r="AB236" s="73">
        <f t="shared" si="72"/>
        <v>83</v>
      </c>
      <c r="AD236" s="157">
        <f t="shared" si="73"/>
        <v>0.46600000000000003</v>
      </c>
      <c r="AE236" s="157">
        <f t="shared" si="74"/>
        <v>119.298</v>
      </c>
      <c r="AG236" s="63" t="str">
        <f t="shared" si="75"/>
        <v>E9</v>
      </c>
      <c r="AJ236" s="63" t="str">
        <f t="shared" si="76"/>
        <v>E9</v>
      </c>
      <c r="AM236" s="63" t="str">
        <f t="shared" si="77"/>
        <v>E9</v>
      </c>
      <c r="AP236" s="63" t="str">
        <f t="shared" si="78"/>
        <v>E9</v>
      </c>
      <c r="AS236" s="63" t="str">
        <f t="shared" si="79"/>
        <v>E9</v>
      </c>
    </row>
    <row r="237" spans="1:45">
      <c r="A237" s="35" t="str">
        <f t="shared" si="60"/>
        <v>,229</v>
      </c>
      <c r="B237" s="35">
        <v>234</v>
      </c>
      <c r="C237" s="35" t="str">
        <f t="shared" si="61"/>
        <v>EA</v>
      </c>
      <c r="D237" s="73">
        <f>ROUND(B237*((100-9.48)/255) +9.48,1)</f>
        <v>92.5</v>
      </c>
      <c r="E237" s="39" t="str">
        <f>",0x" &amp;DEC2HEX(ROUND(D237,0))</f>
        <v>,0x5D</v>
      </c>
      <c r="G237" s="76">
        <f>B237*(1063)/255</f>
        <v>975.4588235294118</v>
      </c>
      <c r="H237" s="153" t="str">
        <f>"," &amp;ROUND(G237/10,0)</f>
        <v>,98</v>
      </c>
      <c r="K237" s="63">
        <v>229</v>
      </c>
      <c r="M237" s="73">
        <f t="shared" si="62"/>
        <v>2.29</v>
      </c>
      <c r="O237" s="72">
        <f t="shared" si="63"/>
        <v>18.350000000000001</v>
      </c>
      <c r="Q237" s="73">
        <f t="shared" si="64"/>
        <v>-4.9000000000000004</v>
      </c>
      <c r="R237" s="39" t="str">
        <f t="shared" si="65"/>
        <v>76</v>
      </c>
      <c r="T237" s="77">
        <f t="shared" si="66"/>
        <v>116.8</v>
      </c>
      <c r="U237" s="155">
        <f t="shared" si="67"/>
        <v>156.80000000000001</v>
      </c>
      <c r="V237" s="39" t="str">
        <f t="shared" si="68"/>
        <v>,0x9C</v>
      </c>
      <c r="X237" s="77">
        <f t="shared" si="69"/>
        <v>116.8</v>
      </c>
      <c r="Y237" s="155">
        <f t="shared" si="70"/>
        <v>156.80000000000001</v>
      </c>
      <c r="Z237" s="39" t="str">
        <f t="shared" si="71"/>
        <v>,0x9C</v>
      </c>
      <c r="AB237" s="73">
        <f t="shared" si="72"/>
        <v>84</v>
      </c>
      <c r="AD237" s="157">
        <f t="shared" si="73"/>
        <v>0.46800000000000003</v>
      </c>
      <c r="AE237" s="157">
        <f t="shared" si="74"/>
        <v>119.81</v>
      </c>
      <c r="AG237" s="63" t="str">
        <f t="shared" si="75"/>
        <v>EA</v>
      </c>
      <c r="AJ237" s="63" t="str">
        <f t="shared" si="76"/>
        <v>EA</v>
      </c>
      <c r="AM237" s="63" t="str">
        <f t="shared" si="77"/>
        <v>EA</v>
      </c>
      <c r="AP237" s="63" t="str">
        <f t="shared" si="78"/>
        <v>EA</v>
      </c>
      <c r="AS237" s="63" t="str">
        <f t="shared" si="79"/>
        <v>EA</v>
      </c>
    </row>
    <row r="238" spans="1:45">
      <c r="A238" s="35" t="str">
        <f t="shared" si="60"/>
        <v>,230</v>
      </c>
      <c r="B238" s="35">
        <v>235</v>
      </c>
      <c r="C238" s="35" t="str">
        <f t="shared" si="61"/>
        <v>EB</v>
      </c>
      <c r="D238" s="73">
        <f>ROUND(B238*((100-9.48)/255) +9.48,1)</f>
        <v>92.9</v>
      </c>
      <c r="E238" s="39" t="str">
        <f>",0x" &amp;DEC2HEX(ROUND(D238,0))</f>
        <v>,0x5D</v>
      </c>
      <c r="G238" s="76">
        <f>B238*(1063)/255</f>
        <v>979.62745098039215</v>
      </c>
      <c r="H238" s="153" t="str">
        <f>"," &amp;ROUND(G238/10,0)</f>
        <v>,98</v>
      </c>
      <c r="K238" s="63">
        <v>230</v>
      </c>
      <c r="M238" s="73">
        <f t="shared" si="62"/>
        <v>2.2999999999999998</v>
      </c>
      <c r="O238" s="72">
        <f t="shared" si="63"/>
        <v>18.43</v>
      </c>
      <c r="Q238" s="73">
        <f t="shared" si="64"/>
        <v>-4.7</v>
      </c>
      <c r="R238" s="39" t="str">
        <f t="shared" si="65"/>
        <v>77</v>
      </c>
      <c r="T238" s="77">
        <f t="shared" si="66"/>
        <v>117.5</v>
      </c>
      <c r="U238" s="155">
        <f t="shared" si="67"/>
        <v>157.5</v>
      </c>
      <c r="V238" s="39" t="str">
        <f t="shared" si="68"/>
        <v>,0x9D</v>
      </c>
      <c r="X238" s="77">
        <f t="shared" si="69"/>
        <v>117.5</v>
      </c>
      <c r="Y238" s="155">
        <f t="shared" si="70"/>
        <v>157.5</v>
      </c>
      <c r="Z238" s="39" t="str">
        <f t="shared" si="71"/>
        <v>,0x9D</v>
      </c>
      <c r="AB238" s="73">
        <f t="shared" si="72"/>
        <v>84</v>
      </c>
      <c r="AD238" s="157">
        <f t="shared" si="73"/>
        <v>0.47</v>
      </c>
      <c r="AE238" s="157">
        <f t="shared" si="74"/>
        <v>120.322</v>
      </c>
      <c r="AG238" s="63" t="str">
        <f t="shared" si="75"/>
        <v>EB</v>
      </c>
      <c r="AJ238" s="63" t="str">
        <f t="shared" si="76"/>
        <v>EB</v>
      </c>
      <c r="AM238" s="63" t="str">
        <f t="shared" si="77"/>
        <v>EB</v>
      </c>
      <c r="AP238" s="63" t="str">
        <f t="shared" si="78"/>
        <v>EB</v>
      </c>
      <c r="AS238" s="63" t="str">
        <f t="shared" si="79"/>
        <v>EB</v>
      </c>
    </row>
    <row r="239" spans="1:45">
      <c r="A239" s="35" t="str">
        <f t="shared" si="60"/>
        <v>,230</v>
      </c>
      <c r="B239" s="35">
        <v>236</v>
      </c>
      <c r="C239" s="35" t="str">
        <f t="shared" si="61"/>
        <v>EC</v>
      </c>
      <c r="D239" s="73">
        <f>ROUND(B239*((100-9.48)/255) +9.48,1)</f>
        <v>93.3</v>
      </c>
      <c r="E239" s="39" t="str">
        <f>",0x" &amp;DEC2HEX(ROUND(D239,0))</f>
        <v>,0x5D</v>
      </c>
      <c r="G239" s="76">
        <f>B239*(1063)/255</f>
        <v>983.79607843137251</v>
      </c>
      <c r="H239" s="153" t="str">
        <f>"," &amp;ROUND(G239/10,0)</f>
        <v>,98</v>
      </c>
      <c r="K239" s="63">
        <v>230</v>
      </c>
      <c r="M239" s="73">
        <f t="shared" si="62"/>
        <v>2.31</v>
      </c>
      <c r="O239" s="72">
        <f t="shared" si="63"/>
        <v>18.510000000000002</v>
      </c>
      <c r="Q239" s="73">
        <f t="shared" si="64"/>
        <v>-4.5</v>
      </c>
      <c r="R239" s="39" t="str">
        <f t="shared" si="65"/>
        <v>77</v>
      </c>
      <c r="T239" s="77">
        <f t="shared" si="66"/>
        <v>118.1</v>
      </c>
      <c r="U239" s="155">
        <f t="shared" si="67"/>
        <v>158.1</v>
      </c>
      <c r="V239" s="39" t="str">
        <f t="shared" si="68"/>
        <v>,0x9E</v>
      </c>
      <c r="X239" s="77">
        <f t="shared" si="69"/>
        <v>118.1</v>
      </c>
      <c r="Y239" s="155">
        <f t="shared" si="70"/>
        <v>158.1</v>
      </c>
      <c r="Z239" s="39" t="str">
        <f t="shared" si="71"/>
        <v>,0x9E</v>
      </c>
      <c r="AB239" s="73">
        <f t="shared" si="72"/>
        <v>85</v>
      </c>
      <c r="AD239" s="157">
        <f t="shared" si="73"/>
        <v>0.47199999999999998</v>
      </c>
      <c r="AE239" s="157">
        <f t="shared" si="74"/>
        <v>120.834</v>
      </c>
      <c r="AG239" s="63" t="str">
        <f t="shared" si="75"/>
        <v>EC</v>
      </c>
      <c r="AJ239" s="63" t="str">
        <f t="shared" si="76"/>
        <v>EC</v>
      </c>
      <c r="AM239" s="63" t="str">
        <f t="shared" si="77"/>
        <v>EC</v>
      </c>
      <c r="AP239" s="63" t="str">
        <f t="shared" si="78"/>
        <v>EC</v>
      </c>
      <c r="AS239" s="63" t="str">
        <f t="shared" si="79"/>
        <v>EC</v>
      </c>
    </row>
    <row r="240" spans="1:45">
      <c r="A240" s="35" t="str">
        <f t="shared" si="60"/>
        <v>,231</v>
      </c>
      <c r="B240" s="35">
        <v>237</v>
      </c>
      <c r="C240" s="35" t="str">
        <f t="shared" si="61"/>
        <v>ED</v>
      </c>
      <c r="D240" s="73">
        <f>ROUND(B240*((100-9.48)/255) +9.48,1)</f>
        <v>93.6</v>
      </c>
      <c r="E240" s="39" t="str">
        <f>",0x" &amp;DEC2HEX(ROUND(D240,0))</f>
        <v>,0x5E</v>
      </c>
      <c r="G240" s="76">
        <f>B240*(1063)/255</f>
        <v>987.96470588235297</v>
      </c>
      <c r="H240" s="153" t="str">
        <f>"," &amp;ROUND(G240/10,0)</f>
        <v>,99</v>
      </c>
      <c r="K240" s="63">
        <v>231</v>
      </c>
      <c r="M240" s="73">
        <f t="shared" si="62"/>
        <v>2.3199999999999998</v>
      </c>
      <c r="O240" s="72">
        <f t="shared" si="63"/>
        <v>18.59</v>
      </c>
      <c r="Q240" s="73">
        <f t="shared" si="64"/>
        <v>-4.2</v>
      </c>
      <c r="R240" s="39" t="str">
        <f t="shared" si="65"/>
        <v>78</v>
      </c>
      <c r="T240" s="77">
        <f t="shared" si="66"/>
        <v>118.7</v>
      </c>
      <c r="U240" s="155">
        <f t="shared" si="67"/>
        <v>158.69999999999999</v>
      </c>
      <c r="V240" s="39" t="str">
        <f t="shared" si="68"/>
        <v>,0x9E</v>
      </c>
      <c r="X240" s="77">
        <f t="shared" si="69"/>
        <v>118.7</v>
      </c>
      <c r="Y240" s="155">
        <f t="shared" si="70"/>
        <v>158.69999999999999</v>
      </c>
      <c r="Z240" s="39" t="str">
        <f t="shared" si="71"/>
        <v>,0x9E</v>
      </c>
      <c r="AB240" s="73">
        <f t="shared" si="72"/>
        <v>86</v>
      </c>
      <c r="AD240" s="157">
        <f t="shared" si="73"/>
        <v>0.47399999999999998</v>
      </c>
      <c r="AE240" s="157">
        <f t="shared" si="74"/>
        <v>121.346</v>
      </c>
      <c r="AG240" s="63" t="str">
        <f t="shared" si="75"/>
        <v>ED</v>
      </c>
      <c r="AJ240" s="63" t="str">
        <f t="shared" si="76"/>
        <v>ED</v>
      </c>
      <c r="AM240" s="63" t="str">
        <f t="shared" si="77"/>
        <v>ED</v>
      </c>
      <c r="AP240" s="63" t="str">
        <f t="shared" si="78"/>
        <v>ED</v>
      </c>
      <c r="AS240" s="63" t="str">
        <f t="shared" si="79"/>
        <v>ED</v>
      </c>
    </row>
    <row r="241" spans="1:45">
      <c r="A241" s="35" t="str">
        <f t="shared" si="60"/>
        <v>,232</v>
      </c>
      <c r="B241" s="35">
        <v>238</v>
      </c>
      <c r="C241" s="35" t="str">
        <f t="shared" si="61"/>
        <v>EE</v>
      </c>
      <c r="D241" s="73">
        <f>ROUND(B241*((100-9.48)/255) +9.48,1)</f>
        <v>94</v>
      </c>
      <c r="E241" s="39" t="str">
        <f>",0x" &amp;DEC2HEX(ROUND(D241,0))</f>
        <v>,0x5E</v>
      </c>
      <c r="G241" s="76">
        <f>B241*(1063)/255</f>
        <v>992.13333333333333</v>
      </c>
      <c r="H241" s="153" t="str">
        <f>"," &amp;ROUND(G241/10,0)</f>
        <v>,99</v>
      </c>
      <c r="K241" s="63">
        <v>232</v>
      </c>
      <c r="M241" s="73">
        <f t="shared" si="62"/>
        <v>2.33</v>
      </c>
      <c r="O241" s="72">
        <f t="shared" si="63"/>
        <v>18.670000000000002</v>
      </c>
      <c r="Q241" s="73">
        <f t="shared" si="64"/>
        <v>-4</v>
      </c>
      <c r="R241" s="39" t="str">
        <f t="shared" si="65"/>
        <v>78</v>
      </c>
      <c r="T241" s="77">
        <f t="shared" si="66"/>
        <v>119.3</v>
      </c>
      <c r="U241" s="155">
        <f t="shared" si="67"/>
        <v>159.30000000000001</v>
      </c>
      <c r="V241" s="39" t="str">
        <f t="shared" si="68"/>
        <v>,0x9F</v>
      </c>
      <c r="X241" s="77">
        <f t="shared" si="69"/>
        <v>119.3</v>
      </c>
      <c r="Y241" s="155">
        <f t="shared" si="70"/>
        <v>159.30000000000001</v>
      </c>
      <c r="Z241" s="39" t="str">
        <f t="shared" si="71"/>
        <v>,0x9F</v>
      </c>
      <c r="AB241" s="73">
        <f t="shared" si="72"/>
        <v>87</v>
      </c>
      <c r="AD241" s="157">
        <f t="shared" si="73"/>
        <v>0.47599999999999998</v>
      </c>
      <c r="AE241" s="157">
        <f t="shared" si="74"/>
        <v>121.858</v>
      </c>
      <c r="AG241" s="63" t="str">
        <f t="shared" si="75"/>
        <v>EE</v>
      </c>
      <c r="AJ241" s="63" t="str">
        <f t="shared" si="76"/>
        <v>EE</v>
      </c>
      <c r="AM241" s="63" t="str">
        <f t="shared" si="77"/>
        <v>EE</v>
      </c>
      <c r="AP241" s="63" t="str">
        <f t="shared" si="78"/>
        <v>EE</v>
      </c>
      <c r="AS241" s="63" t="str">
        <f t="shared" si="79"/>
        <v>EE</v>
      </c>
    </row>
    <row r="242" spans="1:45">
      <c r="A242" s="35" t="str">
        <f t="shared" si="60"/>
        <v>,233</v>
      </c>
      <c r="B242" s="35">
        <v>239</v>
      </c>
      <c r="C242" s="35" t="str">
        <f t="shared" si="61"/>
        <v>EF</v>
      </c>
      <c r="D242" s="73">
        <f>ROUND(B242*((100-9.48)/255) +9.48,1)</f>
        <v>94.3</v>
      </c>
      <c r="E242" s="39" t="str">
        <f>",0x" &amp;DEC2HEX(ROUND(D242,0))</f>
        <v>,0x5E</v>
      </c>
      <c r="G242" s="76">
        <f>B242*(1063)/255</f>
        <v>996.30196078431368</v>
      </c>
      <c r="H242" s="153" t="str">
        <f>"," &amp;ROUND(G242/10,0)</f>
        <v>,100</v>
      </c>
      <c r="K242" s="63">
        <v>233</v>
      </c>
      <c r="M242" s="73">
        <f t="shared" si="62"/>
        <v>2.34</v>
      </c>
      <c r="O242" s="72">
        <f t="shared" si="63"/>
        <v>18.75</v>
      </c>
      <c r="Q242" s="73">
        <f t="shared" si="64"/>
        <v>-3.8</v>
      </c>
      <c r="R242" s="39" t="str">
        <f t="shared" si="65"/>
        <v>78</v>
      </c>
      <c r="T242" s="77">
        <f t="shared" si="66"/>
        <v>120</v>
      </c>
      <c r="U242" s="155">
        <f t="shared" si="67"/>
        <v>160</v>
      </c>
      <c r="V242" s="39" t="str">
        <f t="shared" si="68"/>
        <v>,0xA0</v>
      </c>
      <c r="X242" s="77">
        <f t="shared" si="69"/>
        <v>120</v>
      </c>
      <c r="Y242" s="155">
        <f t="shared" si="70"/>
        <v>160</v>
      </c>
      <c r="Z242" s="39" t="str">
        <f t="shared" si="71"/>
        <v>,0xA0</v>
      </c>
      <c r="AB242" s="73">
        <f t="shared" si="72"/>
        <v>87</v>
      </c>
      <c r="AD242" s="157">
        <f t="shared" si="73"/>
        <v>0.47799999999999998</v>
      </c>
      <c r="AE242" s="157">
        <f t="shared" si="74"/>
        <v>122.37</v>
      </c>
      <c r="AG242" s="63" t="str">
        <f t="shared" si="75"/>
        <v>EF</v>
      </c>
      <c r="AJ242" s="63" t="str">
        <f t="shared" si="76"/>
        <v>EF</v>
      </c>
      <c r="AM242" s="63" t="str">
        <f t="shared" si="77"/>
        <v>EF</v>
      </c>
      <c r="AP242" s="63" t="str">
        <f t="shared" si="78"/>
        <v>EF</v>
      </c>
      <c r="AS242" s="63" t="str">
        <f t="shared" si="79"/>
        <v>EF</v>
      </c>
    </row>
    <row r="243" spans="1:45">
      <c r="A243" s="35" t="str">
        <f t="shared" si="60"/>
        <v>,234</v>
      </c>
      <c r="B243" s="35">
        <v>240</v>
      </c>
      <c r="C243" s="35" t="str">
        <f t="shared" si="61"/>
        <v>F0</v>
      </c>
      <c r="D243" s="73">
        <f>ROUND(B243*((100-9.48)/255) +9.48,1)</f>
        <v>94.7</v>
      </c>
      <c r="E243" s="39" t="str">
        <f>",0x" &amp;DEC2HEX(ROUND(D243,0))</f>
        <v>,0x5F</v>
      </c>
      <c r="G243" s="76">
        <f>B243*(1063)/255</f>
        <v>1000.4705882352941</v>
      </c>
      <c r="H243" s="153" t="str">
        <f>"," &amp;ROUND(G243/10,0)</f>
        <v>,100</v>
      </c>
      <c r="K243" s="63">
        <v>234</v>
      </c>
      <c r="M243" s="73">
        <f t="shared" si="62"/>
        <v>2.35</v>
      </c>
      <c r="O243" s="72">
        <f t="shared" si="63"/>
        <v>18.82</v>
      </c>
      <c r="Q243" s="73">
        <f t="shared" si="64"/>
        <v>-3.5</v>
      </c>
      <c r="R243" s="39" t="str">
        <f t="shared" si="65"/>
        <v>79</v>
      </c>
      <c r="T243" s="77">
        <f t="shared" si="66"/>
        <v>120.6</v>
      </c>
      <c r="U243" s="155">
        <f t="shared" si="67"/>
        <v>160.6</v>
      </c>
      <c r="V243" s="39" t="str">
        <f t="shared" si="68"/>
        <v>,0xA0</v>
      </c>
      <c r="X243" s="77">
        <f t="shared" si="69"/>
        <v>120.6</v>
      </c>
      <c r="Y243" s="155">
        <f t="shared" si="70"/>
        <v>160.6</v>
      </c>
      <c r="Z243" s="39" t="str">
        <f t="shared" si="71"/>
        <v>,0xA0</v>
      </c>
      <c r="AB243" s="73">
        <f t="shared" si="72"/>
        <v>88</v>
      </c>
      <c r="AD243" s="157">
        <f t="shared" si="73"/>
        <v>0.48</v>
      </c>
      <c r="AE243" s="157">
        <f t="shared" si="74"/>
        <v>122.88200000000001</v>
      </c>
      <c r="AG243" s="63" t="str">
        <f t="shared" si="75"/>
        <v>F0</v>
      </c>
      <c r="AJ243" s="63" t="str">
        <f t="shared" si="76"/>
        <v>F0</v>
      </c>
      <c r="AM243" s="63" t="str">
        <f t="shared" si="77"/>
        <v>F0</v>
      </c>
      <c r="AP243" s="63" t="str">
        <f t="shared" si="78"/>
        <v>F0</v>
      </c>
      <c r="AS243" s="63" t="str">
        <f t="shared" si="79"/>
        <v>F0</v>
      </c>
    </row>
    <row r="244" spans="1:45">
      <c r="A244" s="35" t="str">
        <f t="shared" si="60"/>
        <v>,235</v>
      </c>
      <c r="B244" s="35">
        <v>241</v>
      </c>
      <c r="C244" s="35" t="str">
        <f t="shared" si="61"/>
        <v>F1</v>
      </c>
      <c r="D244" s="73">
        <f>ROUND(B244*((100-9.48)/255) +9.48,1)</f>
        <v>95</v>
      </c>
      <c r="E244" s="39" t="str">
        <f>",0x" &amp;DEC2HEX(ROUND(D244,0))</f>
        <v>,0x5F</v>
      </c>
      <c r="G244" s="76">
        <f>B244*(1063)/255</f>
        <v>1004.6392156862745</v>
      </c>
      <c r="H244" s="153" t="str">
        <f>"," &amp;ROUND(G244/10,0)</f>
        <v>,100</v>
      </c>
      <c r="K244" s="63">
        <v>235</v>
      </c>
      <c r="M244" s="73">
        <f t="shared" si="62"/>
        <v>2.36</v>
      </c>
      <c r="O244" s="72">
        <f t="shared" si="63"/>
        <v>18.899999999999999</v>
      </c>
      <c r="Q244" s="73">
        <f t="shared" si="64"/>
        <v>-3.3</v>
      </c>
      <c r="R244" s="39" t="str">
        <f t="shared" si="65"/>
        <v>79</v>
      </c>
      <c r="T244" s="77">
        <f t="shared" si="66"/>
        <v>121.2</v>
      </c>
      <c r="U244" s="155">
        <f t="shared" si="67"/>
        <v>161.19999999999999</v>
      </c>
      <c r="V244" s="39" t="str">
        <f t="shared" si="68"/>
        <v>,0xA1</v>
      </c>
      <c r="X244" s="77">
        <f t="shared" si="69"/>
        <v>121.2</v>
      </c>
      <c r="Y244" s="155">
        <f t="shared" si="70"/>
        <v>161.19999999999999</v>
      </c>
      <c r="Z244" s="39" t="str">
        <f t="shared" si="71"/>
        <v>,0xA1</v>
      </c>
      <c r="AB244" s="73">
        <f t="shared" si="72"/>
        <v>89</v>
      </c>
      <c r="AD244" s="157">
        <f t="shared" si="73"/>
        <v>0.48199999999999998</v>
      </c>
      <c r="AE244" s="157">
        <f t="shared" si="74"/>
        <v>123.39400000000001</v>
      </c>
      <c r="AG244" s="63" t="str">
        <f t="shared" si="75"/>
        <v>F1</v>
      </c>
      <c r="AJ244" s="63" t="str">
        <f t="shared" si="76"/>
        <v>F1</v>
      </c>
      <c r="AM244" s="63" t="str">
        <f t="shared" si="77"/>
        <v>F1</v>
      </c>
      <c r="AP244" s="63" t="str">
        <f t="shared" si="78"/>
        <v>F1</v>
      </c>
      <c r="AS244" s="63" t="str">
        <f t="shared" si="79"/>
        <v>F1</v>
      </c>
    </row>
    <row r="245" spans="1:45">
      <c r="A245" s="35" t="str">
        <f t="shared" si="60"/>
        <v>,236</v>
      </c>
      <c r="B245" s="35">
        <v>242</v>
      </c>
      <c r="C245" s="35" t="str">
        <f t="shared" si="61"/>
        <v>F2</v>
      </c>
      <c r="D245" s="73">
        <f>ROUND(B245*((100-9.48)/255) +9.48,1)</f>
        <v>95.4</v>
      </c>
      <c r="E245" s="39" t="str">
        <f>",0x" &amp;DEC2HEX(ROUND(D245,0))</f>
        <v>,0x5F</v>
      </c>
      <c r="G245" s="76">
        <f>B245*(1063)/255</f>
        <v>1008.8078431372548</v>
      </c>
      <c r="H245" s="153" t="str">
        <f>"," &amp;ROUND(G245/10,0)</f>
        <v>,101</v>
      </c>
      <c r="K245" s="63">
        <v>236</v>
      </c>
      <c r="M245" s="73">
        <f t="shared" si="62"/>
        <v>2.37</v>
      </c>
      <c r="O245" s="72">
        <f t="shared" si="63"/>
        <v>18.98</v>
      </c>
      <c r="Q245" s="73">
        <f t="shared" si="64"/>
        <v>-3.1</v>
      </c>
      <c r="R245" s="39" t="str">
        <f t="shared" si="65"/>
        <v>7A</v>
      </c>
      <c r="T245" s="77">
        <f t="shared" si="66"/>
        <v>121.8</v>
      </c>
      <c r="U245" s="155">
        <f t="shared" si="67"/>
        <v>161.80000000000001</v>
      </c>
      <c r="V245" s="39" t="str">
        <f t="shared" si="68"/>
        <v>,0xA1</v>
      </c>
      <c r="X245" s="77">
        <f t="shared" si="69"/>
        <v>121.8</v>
      </c>
      <c r="Y245" s="155">
        <f t="shared" si="70"/>
        <v>161.80000000000001</v>
      </c>
      <c r="Z245" s="39" t="str">
        <f t="shared" si="71"/>
        <v>,0xA1</v>
      </c>
      <c r="AB245" s="73">
        <f t="shared" si="72"/>
        <v>90</v>
      </c>
      <c r="AD245" s="157">
        <f t="shared" si="73"/>
        <v>0.48399999999999999</v>
      </c>
      <c r="AE245" s="157">
        <f t="shared" si="74"/>
        <v>123.90600000000001</v>
      </c>
      <c r="AG245" s="63" t="str">
        <f t="shared" si="75"/>
        <v>F2</v>
      </c>
      <c r="AJ245" s="63" t="str">
        <f t="shared" si="76"/>
        <v>F2</v>
      </c>
      <c r="AM245" s="63" t="str">
        <f t="shared" si="77"/>
        <v>F2</v>
      </c>
      <c r="AP245" s="63" t="str">
        <f t="shared" si="78"/>
        <v>F2</v>
      </c>
      <c r="AS245" s="63" t="str">
        <f t="shared" si="79"/>
        <v>F2</v>
      </c>
    </row>
    <row r="246" spans="1:45">
      <c r="A246" s="35" t="str">
        <f t="shared" si="60"/>
        <v>,237</v>
      </c>
      <c r="B246" s="35">
        <v>243</v>
      </c>
      <c r="C246" s="35" t="str">
        <f t="shared" si="61"/>
        <v>F3</v>
      </c>
      <c r="D246" s="73">
        <f>ROUND(B246*((100-9.48)/255) +9.48,1)</f>
        <v>95.7</v>
      </c>
      <c r="E246" s="39" t="str">
        <f>",0x" &amp;DEC2HEX(ROUND(D246,0))</f>
        <v>,0x60</v>
      </c>
      <c r="G246" s="76">
        <f>B246*(1063)/255</f>
        <v>1012.9764705882353</v>
      </c>
      <c r="H246" s="153" t="str">
        <f>"," &amp;ROUND(G246/10,0)</f>
        <v>,101</v>
      </c>
      <c r="K246" s="63">
        <v>237</v>
      </c>
      <c r="M246" s="73">
        <f t="shared" si="62"/>
        <v>2.38</v>
      </c>
      <c r="O246" s="72">
        <f t="shared" si="63"/>
        <v>19.059999999999999</v>
      </c>
      <c r="Q246" s="73">
        <f t="shared" si="64"/>
        <v>-2.8</v>
      </c>
      <c r="R246" s="39" t="str">
        <f t="shared" si="65"/>
        <v>7A</v>
      </c>
      <c r="T246" s="77">
        <f t="shared" si="66"/>
        <v>122.5</v>
      </c>
      <c r="U246" s="155">
        <f t="shared" si="67"/>
        <v>162.5</v>
      </c>
      <c r="V246" s="39" t="str">
        <f t="shared" si="68"/>
        <v>,0xA2</v>
      </c>
      <c r="X246" s="77">
        <f t="shared" si="69"/>
        <v>122.5</v>
      </c>
      <c r="Y246" s="155">
        <f t="shared" si="70"/>
        <v>162.5</v>
      </c>
      <c r="Z246" s="39" t="str">
        <f t="shared" si="71"/>
        <v>,0xA2</v>
      </c>
      <c r="AB246" s="73">
        <f t="shared" si="72"/>
        <v>91</v>
      </c>
      <c r="AD246" s="157">
        <f t="shared" si="73"/>
        <v>0.48599999999999999</v>
      </c>
      <c r="AE246" s="157">
        <f t="shared" si="74"/>
        <v>124.41800000000001</v>
      </c>
      <c r="AG246" s="63" t="str">
        <f t="shared" si="75"/>
        <v>F3</v>
      </c>
      <c r="AJ246" s="63" t="str">
        <f t="shared" si="76"/>
        <v>F3</v>
      </c>
      <c r="AM246" s="63" t="str">
        <f t="shared" si="77"/>
        <v>F3</v>
      </c>
      <c r="AP246" s="63" t="str">
        <f t="shared" si="78"/>
        <v>F3</v>
      </c>
      <c r="AS246" s="63" t="str">
        <f t="shared" si="79"/>
        <v>F3</v>
      </c>
    </row>
    <row r="247" spans="1:45">
      <c r="A247" s="35" t="str">
        <f t="shared" si="60"/>
        <v>,238</v>
      </c>
      <c r="B247" s="35">
        <v>244</v>
      </c>
      <c r="C247" s="35" t="str">
        <f t="shared" si="61"/>
        <v>F4</v>
      </c>
      <c r="D247" s="73">
        <f>ROUND(B247*((100-9.48)/255) +9.48,1)</f>
        <v>96.1</v>
      </c>
      <c r="E247" s="39" t="str">
        <f>",0x" &amp;DEC2HEX(ROUND(D247,0))</f>
        <v>,0x60</v>
      </c>
      <c r="G247" s="76">
        <f>B247*(1063)/255</f>
        <v>1017.1450980392157</v>
      </c>
      <c r="H247" s="153" t="str">
        <f>"," &amp;ROUND(G247/10,0)</f>
        <v>,102</v>
      </c>
      <c r="K247" s="63">
        <v>238</v>
      </c>
      <c r="M247" s="73">
        <f t="shared" si="62"/>
        <v>2.39</v>
      </c>
      <c r="O247" s="72">
        <f t="shared" si="63"/>
        <v>19.14</v>
      </c>
      <c r="Q247" s="73">
        <f t="shared" si="64"/>
        <v>-2.6</v>
      </c>
      <c r="R247" s="39" t="str">
        <f t="shared" si="65"/>
        <v>7B</v>
      </c>
      <c r="T247" s="77">
        <f t="shared" si="66"/>
        <v>123.1</v>
      </c>
      <c r="U247" s="155">
        <f t="shared" si="67"/>
        <v>163.1</v>
      </c>
      <c r="V247" s="39" t="str">
        <f t="shared" si="68"/>
        <v>,0xA3</v>
      </c>
      <c r="X247" s="77">
        <f t="shared" si="69"/>
        <v>123.1</v>
      </c>
      <c r="Y247" s="155">
        <f t="shared" si="70"/>
        <v>163.1</v>
      </c>
      <c r="Z247" s="39" t="str">
        <f t="shared" si="71"/>
        <v>,0xA3</v>
      </c>
      <c r="AB247" s="73">
        <f t="shared" si="72"/>
        <v>91</v>
      </c>
      <c r="AD247" s="157">
        <f t="shared" si="73"/>
        <v>0.48799999999999999</v>
      </c>
      <c r="AE247" s="157">
        <f t="shared" si="74"/>
        <v>124.93</v>
      </c>
      <c r="AG247" s="63" t="str">
        <f t="shared" si="75"/>
        <v>F4</v>
      </c>
      <c r="AJ247" s="63" t="str">
        <f t="shared" si="76"/>
        <v>F4</v>
      </c>
      <c r="AM247" s="63" t="str">
        <f t="shared" si="77"/>
        <v>F4</v>
      </c>
      <c r="AP247" s="63" t="str">
        <f t="shared" si="78"/>
        <v>F4</v>
      </c>
      <c r="AS247" s="63" t="str">
        <f t="shared" si="79"/>
        <v>F4</v>
      </c>
    </row>
    <row r="248" spans="1:45">
      <c r="A248" s="35" t="str">
        <f t="shared" si="60"/>
        <v>,239</v>
      </c>
      <c r="B248" s="35">
        <v>245</v>
      </c>
      <c r="C248" s="35" t="str">
        <f t="shared" si="61"/>
        <v>F5</v>
      </c>
      <c r="D248" s="73">
        <f>ROUND(B248*((100-9.48)/255) +9.48,1)</f>
        <v>96.5</v>
      </c>
      <c r="E248" s="39" t="str">
        <f>",0x" &amp;DEC2HEX(ROUND(D248,0))</f>
        <v>,0x61</v>
      </c>
      <c r="G248" s="76">
        <f>B248*(1063)/255</f>
        <v>1021.3137254901961</v>
      </c>
      <c r="H248" s="153" t="str">
        <f>"," &amp;ROUND(G248/10,0)</f>
        <v>,102</v>
      </c>
      <c r="K248" s="63">
        <v>239</v>
      </c>
      <c r="M248" s="73">
        <f t="shared" si="62"/>
        <v>2.4</v>
      </c>
      <c r="O248" s="72">
        <f t="shared" si="63"/>
        <v>19.22</v>
      </c>
      <c r="Q248" s="73">
        <f t="shared" si="64"/>
        <v>-2.4</v>
      </c>
      <c r="R248" s="39" t="str">
        <f t="shared" si="65"/>
        <v>7B</v>
      </c>
      <c r="T248" s="77">
        <f t="shared" si="66"/>
        <v>123.7</v>
      </c>
      <c r="U248" s="155">
        <f t="shared" si="67"/>
        <v>163.69999999999999</v>
      </c>
      <c r="V248" s="39" t="str">
        <f t="shared" si="68"/>
        <v>,0xA3</v>
      </c>
      <c r="X248" s="77">
        <f t="shared" si="69"/>
        <v>123.7</v>
      </c>
      <c r="Y248" s="155">
        <f t="shared" si="70"/>
        <v>163.69999999999999</v>
      </c>
      <c r="Z248" s="39" t="str">
        <f t="shared" si="71"/>
        <v>,0xA3</v>
      </c>
      <c r="AB248" s="73">
        <f t="shared" si="72"/>
        <v>92</v>
      </c>
      <c r="AD248" s="157">
        <f t="shared" si="73"/>
        <v>0.49</v>
      </c>
      <c r="AE248" s="157">
        <f t="shared" si="74"/>
        <v>125.44199999999999</v>
      </c>
      <c r="AG248" s="63" t="str">
        <f t="shared" si="75"/>
        <v>F5</v>
      </c>
      <c r="AJ248" s="63" t="str">
        <f t="shared" si="76"/>
        <v>F5</v>
      </c>
      <c r="AM248" s="63" t="str">
        <f t="shared" si="77"/>
        <v>F5</v>
      </c>
      <c r="AP248" s="63" t="str">
        <f t="shared" si="78"/>
        <v>F5</v>
      </c>
      <c r="AS248" s="63" t="str">
        <f t="shared" si="79"/>
        <v>F5</v>
      </c>
    </row>
    <row r="249" spans="1:45">
      <c r="A249" s="35" t="str">
        <f t="shared" si="60"/>
        <v>,240</v>
      </c>
      <c r="B249" s="35">
        <v>246</v>
      </c>
      <c r="C249" s="35" t="str">
        <f t="shared" si="61"/>
        <v>F6</v>
      </c>
      <c r="D249" s="73">
        <f>ROUND(B249*((100-9.48)/255) +9.48,1)</f>
        <v>96.8</v>
      </c>
      <c r="E249" s="39" t="str">
        <f>",0x" &amp;DEC2HEX(ROUND(D249,0))</f>
        <v>,0x61</v>
      </c>
      <c r="G249" s="76">
        <f>B249*(1063)/255</f>
        <v>1025.4823529411765</v>
      </c>
      <c r="H249" s="153" t="str">
        <f>"," &amp;ROUND(G249/10,0)</f>
        <v>,103</v>
      </c>
      <c r="K249" s="63">
        <v>240</v>
      </c>
      <c r="M249" s="73">
        <f t="shared" si="62"/>
        <v>2.41</v>
      </c>
      <c r="O249" s="72">
        <f t="shared" si="63"/>
        <v>19.29</v>
      </c>
      <c r="Q249" s="73">
        <f t="shared" si="64"/>
        <v>-2.1</v>
      </c>
      <c r="R249" s="39" t="str">
        <f t="shared" si="65"/>
        <v>7C</v>
      </c>
      <c r="T249" s="77">
        <f t="shared" si="66"/>
        <v>124.4</v>
      </c>
      <c r="U249" s="155">
        <f t="shared" si="67"/>
        <v>164.4</v>
      </c>
      <c r="V249" s="39" t="str">
        <f t="shared" si="68"/>
        <v>,0xA4</v>
      </c>
      <c r="X249" s="77">
        <f t="shared" si="69"/>
        <v>124.4</v>
      </c>
      <c r="Y249" s="155">
        <f t="shared" si="70"/>
        <v>164.4</v>
      </c>
      <c r="Z249" s="39" t="str">
        <f t="shared" si="71"/>
        <v>,0xA4</v>
      </c>
      <c r="AB249" s="73">
        <f t="shared" si="72"/>
        <v>93</v>
      </c>
      <c r="AD249" s="157">
        <f t="shared" si="73"/>
        <v>0.49199999999999999</v>
      </c>
      <c r="AE249" s="157">
        <f t="shared" si="74"/>
        <v>125.95399999999999</v>
      </c>
      <c r="AG249" s="63" t="str">
        <f t="shared" si="75"/>
        <v>F6</v>
      </c>
      <c r="AJ249" s="63" t="str">
        <f t="shared" si="76"/>
        <v>F6</v>
      </c>
      <c r="AM249" s="63" t="str">
        <f t="shared" si="77"/>
        <v>F6</v>
      </c>
      <c r="AP249" s="63" t="str">
        <f t="shared" si="78"/>
        <v>F6</v>
      </c>
      <c r="AS249" s="63" t="str">
        <f t="shared" si="79"/>
        <v>F6</v>
      </c>
    </row>
    <row r="250" spans="1:45">
      <c r="A250" s="35" t="str">
        <f t="shared" si="60"/>
        <v>,241</v>
      </c>
      <c r="B250" s="35">
        <v>247</v>
      </c>
      <c r="C250" s="35" t="str">
        <f t="shared" si="61"/>
        <v>F7</v>
      </c>
      <c r="D250" s="73">
        <f>ROUND(B250*((100-9.48)/255) +9.48,1)</f>
        <v>97.2</v>
      </c>
      <c r="E250" s="39" t="str">
        <f>",0x" &amp;DEC2HEX(ROUND(D250,0))</f>
        <v>,0x61</v>
      </c>
      <c r="G250" s="76">
        <f>B250*(1063)/255</f>
        <v>1029.650980392157</v>
      </c>
      <c r="H250" s="153" t="str">
        <f>"," &amp;ROUND(G250/10,0)</f>
        <v>,103</v>
      </c>
      <c r="K250" s="63">
        <v>241</v>
      </c>
      <c r="M250" s="73">
        <f t="shared" si="62"/>
        <v>2.42</v>
      </c>
      <c r="O250" s="72">
        <f t="shared" si="63"/>
        <v>19.37</v>
      </c>
      <c r="Q250" s="73">
        <f t="shared" si="64"/>
        <v>-1.9</v>
      </c>
      <c r="R250" s="39" t="str">
        <f t="shared" si="65"/>
        <v>7C</v>
      </c>
      <c r="T250" s="77">
        <f t="shared" si="66"/>
        <v>125</v>
      </c>
      <c r="U250" s="155">
        <f t="shared" si="67"/>
        <v>165</v>
      </c>
      <c r="V250" s="39" t="str">
        <f t="shared" si="68"/>
        <v>,0xA5</v>
      </c>
      <c r="X250" s="77">
        <f t="shared" si="69"/>
        <v>125</v>
      </c>
      <c r="Y250" s="155">
        <f t="shared" si="70"/>
        <v>165</v>
      </c>
      <c r="Z250" s="39" t="str">
        <f t="shared" si="71"/>
        <v>,0xA5</v>
      </c>
      <c r="AB250" s="73">
        <f t="shared" si="72"/>
        <v>94</v>
      </c>
      <c r="AD250" s="157">
        <f t="shared" si="73"/>
        <v>0.49399999999999999</v>
      </c>
      <c r="AE250" s="157">
        <f t="shared" si="74"/>
        <v>126.46599999999999</v>
      </c>
      <c r="AG250" s="63" t="str">
        <f t="shared" si="75"/>
        <v>F7</v>
      </c>
      <c r="AJ250" s="63" t="str">
        <f t="shared" si="76"/>
        <v>F7</v>
      </c>
      <c r="AM250" s="63" t="str">
        <f t="shared" si="77"/>
        <v>F7</v>
      </c>
      <c r="AP250" s="63" t="str">
        <f t="shared" si="78"/>
        <v>F7</v>
      </c>
      <c r="AS250" s="63" t="str">
        <f t="shared" si="79"/>
        <v>F7</v>
      </c>
    </row>
    <row r="251" spans="1:45">
      <c r="A251" s="35" t="str">
        <f t="shared" si="60"/>
        <v>,242</v>
      </c>
      <c r="B251" s="35">
        <v>248</v>
      </c>
      <c r="C251" s="35" t="str">
        <f t="shared" si="61"/>
        <v>F8</v>
      </c>
      <c r="D251" s="73">
        <f>ROUND(B251*((100-9.48)/255) +9.48,1)</f>
        <v>97.5</v>
      </c>
      <c r="E251" s="39" t="str">
        <f>",0x" &amp;DEC2HEX(ROUND(D251,0))</f>
        <v>,0x62</v>
      </c>
      <c r="G251" s="76">
        <f>B251*(1063)/255</f>
        <v>1033.8196078431372</v>
      </c>
      <c r="H251" s="153" t="str">
        <f>"," &amp;ROUND(G251/10,0)</f>
        <v>,103</v>
      </c>
      <c r="K251" s="63">
        <v>242</v>
      </c>
      <c r="M251" s="73">
        <f t="shared" si="62"/>
        <v>2.4300000000000002</v>
      </c>
      <c r="O251" s="72">
        <f t="shared" si="63"/>
        <v>19.45</v>
      </c>
      <c r="Q251" s="73">
        <f t="shared" si="64"/>
        <v>-1.6</v>
      </c>
      <c r="R251" s="39" t="str">
        <f t="shared" si="65"/>
        <v>7D</v>
      </c>
      <c r="T251" s="77">
        <f t="shared" si="66"/>
        <v>125.6</v>
      </c>
      <c r="U251" s="155">
        <f t="shared" si="67"/>
        <v>165.6</v>
      </c>
      <c r="V251" s="39" t="str">
        <f t="shared" si="68"/>
        <v>,0xA5</v>
      </c>
      <c r="X251" s="77">
        <f t="shared" si="69"/>
        <v>125.6</v>
      </c>
      <c r="Y251" s="155">
        <f t="shared" si="70"/>
        <v>165.6</v>
      </c>
      <c r="Z251" s="39" t="str">
        <f t="shared" si="71"/>
        <v>,0xA5</v>
      </c>
      <c r="AB251" s="73">
        <f t="shared" si="72"/>
        <v>95</v>
      </c>
      <c r="AD251" s="157">
        <f t="shared" si="73"/>
        <v>0.496</v>
      </c>
      <c r="AE251" s="157">
        <f t="shared" si="74"/>
        <v>126.97799999999999</v>
      </c>
      <c r="AG251" s="63" t="str">
        <f t="shared" si="75"/>
        <v>F8</v>
      </c>
      <c r="AJ251" s="63" t="str">
        <f t="shared" si="76"/>
        <v>F8</v>
      </c>
      <c r="AM251" s="63" t="str">
        <f t="shared" si="77"/>
        <v>F8</v>
      </c>
      <c r="AP251" s="63" t="str">
        <f t="shared" si="78"/>
        <v>F8</v>
      </c>
      <c r="AS251" s="63" t="str">
        <f t="shared" si="79"/>
        <v>F8</v>
      </c>
    </row>
    <row r="252" spans="1:45">
      <c r="A252" s="35" t="str">
        <f t="shared" si="60"/>
        <v>,243</v>
      </c>
      <c r="B252" s="35">
        <v>249</v>
      </c>
      <c r="C252" s="35" t="str">
        <f t="shared" si="61"/>
        <v>F9</v>
      </c>
      <c r="D252" s="73">
        <f>ROUND(B252*((100-9.48)/255) +9.48,1)</f>
        <v>97.9</v>
      </c>
      <c r="E252" s="39" t="str">
        <f>",0x" &amp;DEC2HEX(ROUND(D252,0))</f>
        <v>,0x62</v>
      </c>
      <c r="G252" s="76">
        <f>B252*(1063)/255</f>
        <v>1037.9882352941177</v>
      </c>
      <c r="H252" s="153" t="str">
        <f>"," &amp;ROUND(G252/10,0)</f>
        <v>,104</v>
      </c>
      <c r="K252" s="63">
        <v>243</v>
      </c>
      <c r="M252" s="73">
        <f t="shared" si="62"/>
        <v>2.44</v>
      </c>
      <c r="O252" s="72">
        <f t="shared" si="63"/>
        <v>19.53</v>
      </c>
      <c r="Q252" s="73">
        <f t="shared" si="64"/>
        <v>-1.4</v>
      </c>
      <c r="R252" s="39" t="str">
        <f t="shared" si="65"/>
        <v>7D</v>
      </c>
      <c r="T252" s="77">
        <f t="shared" si="66"/>
        <v>126.2</v>
      </c>
      <c r="U252" s="155">
        <f t="shared" si="67"/>
        <v>166.2</v>
      </c>
      <c r="V252" s="39" t="str">
        <f t="shared" si="68"/>
        <v>,0xA6</v>
      </c>
      <c r="X252" s="77">
        <f t="shared" si="69"/>
        <v>126.2</v>
      </c>
      <c r="Y252" s="155">
        <f t="shared" si="70"/>
        <v>166.2</v>
      </c>
      <c r="Z252" s="39" t="str">
        <f t="shared" si="71"/>
        <v>,0xA6</v>
      </c>
      <c r="AB252" s="73">
        <f t="shared" si="72"/>
        <v>95</v>
      </c>
      <c r="AD252" s="157">
        <f t="shared" si="73"/>
        <v>0.498</v>
      </c>
      <c r="AE252" s="157">
        <f t="shared" si="74"/>
        <v>127.49</v>
      </c>
      <c r="AG252" s="63" t="str">
        <f t="shared" si="75"/>
        <v>F9</v>
      </c>
      <c r="AJ252" s="63" t="str">
        <f t="shared" si="76"/>
        <v>F9</v>
      </c>
      <c r="AM252" s="63" t="str">
        <f t="shared" si="77"/>
        <v>F9</v>
      </c>
      <c r="AP252" s="63" t="str">
        <f t="shared" si="78"/>
        <v>F9</v>
      </c>
      <c r="AS252" s="63" t="str">
        <f t="shared" si="79"/>
        <v>F9</v>
      </c>
    </row>
    <row r="253" spans="1:45">
      <c r="A253" s="35" t="str">
        <f t="shared" si="60"/>
        <v>,244</v>
      </c>
      <c r="B253" s="35">
        <v>250</v>
      </c>
      <c r="C253" s="35" t="str">
        <f t="shared" si="61"/>
        <v>FA</v>
      </c>
      <c r="D253" s="73">
        <f>ROUND(B253*((100-9.48)/255) +9.48,1)</f>
        <v>98.2</v>
      </c>
      <c r="E253" s="39" t="str">
        <f>",0x" &amp;DEC2HEX(ROUND(D253,0))</f>
        <v>,0x62</v>
      </c>
      <c r="G253" s="76">
        <f>B253*(1063)/255</f>
        <v>1042.1568627450981</v>
      </c>
      <c r="H253" s="153" t="str">
        <f>"," &amp;ROUND(G253/10,0)</f>
        <v>,104</v>
      </c>
      <c r="K253" s="63">
        <v>244</v>
      </c>
      <c r="M253" s="73">
        <f t="shared" si="62"/>
        <v>2.4500000000000002</v>
      </c>
      <c r="O253" s="72">
        <f t="shared" si="63"/>
        <v>19.61</v>
      </c>
      <c r="Q253" s="73">
        <f t="shared" si="64"/>
        <v>-1.2</v>
      </c>
      <c r="R253" s="39" t="str">
        <f t="shared" si="65"/>
        <v>7E</v>
      </c>
      <c r="T253" s="77">
        <f t="shared" si="66"/>
        <v>126.9</v>
      </c>
      <c r="U253" s="155">
        <f t="shared" si="67"/>
        <v>166.9</v>
      </c>
      <c r="V253" s="39" t="str">
        <f t="shared" si="68"/>
        <v>,0xA6</v>
      </c>
      <c r="X253" s="77">
        <f t="shared" si="69"/>
        <v>126.9</v>
      </c>
      <c r="Y253" s="155">
        <f t="shared" si="70"/>
        <v>166.9</v>
      </c>
      <c r="Z253" s="39" t="str">
        <f t="shared" si="71"/>
        <v>,0xA6</v>
      </c>
      <c r="AB253" s="73">
        <f t="shared" si="72"/>
        <v>96</v>
      </c>
      <c r="AD253" s="157">
        <f t="shared" si="73"/>
        <v>0.5</v>
      </c>
      <c r="AE253" s="157">
        <f t="shared" si="74"/>
        <v>128.00200000000001</v>
      </c>
      <c r="AG253" s="63" t="str">
        <f t="shared" si="75"/>
        <v>FA</v>
      </c>
      <c r="AJ253" s="63" t="str">
        <f t="shared" si="76"/>
        <v>FA</v>
      </c>
      <c r="AM253" s="63" t="str">
        <f t="shared" si="77"/>
        <v>FA</v>
      </c>
      <c r="AP253" s="63" t="str">
        <f t="shared" si="78"/>
        <v>FA</v>
      </c>
      <c r="AS253" s="63" t="str">
        <f t="shared" si="79"/>
        <v>FA</v>
      </c>
    </row>
    <row r="254" spans="1:45">
      <c r="A254" s="35" t="str">
        <f t="shared" si="60"/>
        <v>,245</v>
      </c>
      <c r="B254" s="35">
        <v>251</v>
      </c>
      <c r="C254" s="35" t="str">
        <f t="shared" si="61"/>
        <v>FB</v>
      </c>
      <c r="D254" s="73">
        <f>ROUND(B254*((100-9.48)/255) +9.48,1)</f>
        <v>98.6</v>
      </c>
      <c r="E254" s="39" t="str">
        <f>",0x" &amp;DEC2HEX(ROUND(D254,0))</f>
        <v>,0x63</v>
      </c>
      <c r="G254" s="76">
        <f>B254*(1063)/255</f>
        <v>1046.3254901960784</v>
      </c>
      <c r="H254" s="153" t="str">
        <f>"," &amp;ROUND(G254/10,0)</f>
        <v>,105</v>
      </c>
      <c r="K254" s="63">
        <v>245</v>
      </c>
      <c r="M254" s="73">
        <f t="shared" si="62"/>
        <v>2.46</v>
      </c>
      <c r="O254" s="72">
        <f t="shared" si="63"/>
        <v>19.690000000000001</v>
      </c>
      <c r="Q254" s="73">
        <f t="shared" si="64"/>
        <v>-0.9</v>
      </c>
      <c r="R254" s="39" t="str">
        <f t="shared" si="65"/>
        <v>7E</v>
      </c>
      <c r="T254" s="77">
        <f t="shared" si="66"/>
        <v>127.5</v>
      </c>
      <c r="U254" s="155">
        <f t="shared" si="67"/>
        <v>167.5</v>
      </c>
      <c r="V254" s="39" t="str">
        <f t="shared" si="68"/>
        <v>,0xA7</v>
      </c>
      <c r="X254" s="77">
        <f t="shared" si="69"/>
        <v>127.5</v>
      </c>
      <c r="Y254" s="155">
        <f t="shared" si="70"/>
        <v>167.5</v>
      </c>
      <c r="Z254" s="39" t="str">
        <f t="shared" si="71"/>
        <v>,0xA7</v>
      </c>
      <c r="AB254" s="73">
        <f t="shared" si="72"/>
        <v>97</v>
      </c>
      <c r="AD254" s="157">
        <f t="shared" si="73"/>
        <v>0.502</v>
      </c>
      <c r="AE254" s="157">
        <f t="shared" si="74"/>
        <v>128.51400000000001</v>
      </c>
      <c r="AG254" s="63" t="str">
        <f t="shared" si="75"/>
        <v>FB</v>
      </c>
      <c r="AJ254" s="63" t="str">
        <f t="shared" si="76"/>
        <v>FB</v>
      </c>
      <c r="AM254" s="63" t="str">
        <f t="shared" si="77"/>
        <v>FB</v>
      </c>
      <c r="AP254" s="63" t="str">
        <f t="shared" si="78"/>
        <v>FB</v>
      </c>
      <c r="AS254" s="63" t="str">
        <f t="shared" si="79"/>
        <v>FB</v>
      </c>
    </row>
    <row r="255" spans="1:45">
      <c r="A255" s="35" t="str">
        <f t="shared" si="60"/>
        <v>,246</v>
      </c>
      <c r="B255" s="35">
        <v>252</v>
      </c>
      <c r="C255" s="35" t="str">
        <f t="shared" si="61"/>
        <v>FC</v>
      </c>
      <c r="D255" s="73">
        <f>ROUND(B255*((100-9.48)/255) +9.48,1)</f>
        <v>98.9</v>
      </c>
      <c r="E255" s="39" t="str">
        <f>",0x" &amp;DEC2HEX(ROUND(D255,0))</f>
        <v>,0x63</v>
      </c>
      <c r="G255" s="76">
        <f>B255*(1063)/255</f>
        <v>1050.4941176470588</v>
      </c>
      <c r="H255" s="153" t="str">
        <f>"," &amp;ROUND(G255/10,0)</f>
        <v>,105</v>
      </c>
      <c r="K255" s="63">
        <v>246</v>
      </c>
      <c r="M255" s="73">
        <f t="shared" si="62"/>
        <v>2.4700000000000002</v>
      </c>
      <c r="O255" s="72">
        <f t="shared" si="63"/>
        <v>19.760000000000002</v>
      </c>
      <c r="Q255" s="73">
        <f t="shared" si="64"/>
        <v>-0.7</v>
      </c>
      <c r="R255" s="39" t="str">
        <f t="shared" si="65"/>
        <v>7F</v>
      </c>
      <c r="T255" s="77">
        <f t="shared" si="66"/>
        <v>128.1</v>
      </c>
      <c r="U255" s="155">
        <f t="shared" si="67"/>
        <v>168.1</v>
      </c>
      <c r="V255" s="39" t="str">
        <f t="shared" si="68"/>
        <v>,0xA8</v>
      </c>
      <c r="X255" s="77">
        <f t="shared" si="69"/>
        <v>128.1</v>
      </c>
      <c r="Y255" s="155">
        <f t="shared" si="70"/>
        <v>168.1</v>
      </c>
      <c r="Z255" s="39" t="str">
        <f t="shared" si="71"/>
        <v>,0xA8</v>
      </c>
      <c r="AB255" s="73">
        <f t="shared" si="72"/>
        <v>98</v>
      </c>
      <c r="AD255" s="157">
        <f t="shared" si="73"/>
        <v>0.504</v>
      </c>
      <c r="AE255" s="157">
        <f t="shared" si="74"/>
        <v>129.02600000000001</v>
      </c>
      <c r="AG255" s="63" t="str">
        <f t="shared" si="75"/>
        <v>FC</v>
      </c>
      <c r="AJ255" s="63" t="str">
        <f t="shared" si="76"/>
        <v>FC</v>
      </c>
      <c r="AM255" s="63" t="str">
        <f t="shared" si="77"/>
        <v>FC</v>
      </c>
      <c r="AP255" s="63" t="str">
        <f t="shared" si="78"/>
        <v>FC</v>
      </c>
      <c r="AS255" s="63" t="str">
        <f t="shared" si="79"/>
        <v>FC</v>
      </c>
    </row>
    <row r="256" spans="1:45">
      <c r="A256" s="35" t="str">
        <f t="shared" si="60"/>
        <v>,247</v>
      </c>
      <c r="B256" s="35">
        <v>253</v>
      </c>
      <c r="C256" s="35" t="str">
        <f t="shared" si="61"/>
        <v>FD</v>
      </c>
      <c r="D256" s="73">
        <f>ROUND(B256*((100-9.48)/255) +9.48,1)</f>
        <v>99.3</v>
      </c>
      <c r="E256" s="39" t="str">
        <f>",0x" &amp;DEC2HEX(ROUND(D256,0))</f>
        <v>,0x63</v>
      </c>
      <c r="G256" s="76">
        <f>B256*(1063)/255</f>
        <v>1054.6627450980393</v>
      </c>
      <c r="H256" s="153" t="str">
        <f>"," &amp;ROUND(G256/10,0)</f>
        <v>,105</v>
      </c>
      <c r="K256" s="63">
        <v>247</v>
      </c>
      <c r="M256" s="73">
        <f t="shared" si="62"/>
        <v>2.48</v>
      </c>
      <c r="O256" s="72">
        <f t="shared" si="63"/>
        <v>19.84</v>
      </c>
      <c r="Q256" s="73">
        <f t="shared" si="64"/>
        <v>-0.5</v>
      </c>
      <c r="R256" s="39" t="str">
        <f t="shared" si="65"/>
        <v>7F</v>
      </c>
      <c r="T256" s="77">
        <f t="shared" si="66"/>
        <v>128.69999999999999</v>
      </c>
      <c r="U256" s="155">
        <f t="shared" si="67"/>
        <v>168.7</v>
      </c>
      <c r="V256" s="39" t="str">
        <f t="shared" si="68"/>
        <v>,0xA8</v>
      </c>
      <c r="X256" s="77">
        <f t="shared" si="69"/>
        <v>128.69999999999999</v>
      </c>
      <c r="Y256" s="155">
        <f t="shared" si="70"/>
        <v>168.7</v>
      </c>
      <c r="Z256" s="39" t="str">
        <f t="shared" si="71"/>
        <v>,0xA8</v>
      </c>
      <c r="AB256" s="73">
        <f t="shared" si="72"/>
        <v>98</v>
      </c>
      <c r="AD256" s="157">
        <f t="shared" si="73"/>
        <v>0.50600000000000001</v>
      </c>
      <c r="AE256" s="157">
        <f t="shared" si="74"/>
        <v>129.53800000000001</v>
      </c>
      <c r="AG256" s="63" t="str">
        <f t="shared" si="75"/>
        <v>FD</v>
      </c>
      <c r="AJ256" s="63" t="str">
        <f t="shared" si="76"/>
        <v>FD</v>
      </c>
      <c r="AM256" s="63" t="str">
        <f t="shared" si="77"/>
        <v>FD</v>
      </c>
      <c r="AP256" s="63" t="str">
        <f t="shared" si="78"/>
        <v>FD</v>
      </c>
      <c r="AS256" s="63" t="str">
        <f t="shared" si="79"/>
        <v>FD</v>
      </c>
    </row>
    <row r="257" spans="1:45">
      <c r="A257" s="35" t="str">
        <f t="shared" si="60"/>
        <v>,248</v>
      </c>
      <c r="B257" s="35">
        <v>254</v>
      </c>
      <c r="C257" s="35" t="str">
        <f t="shared" si="61"/>
        <v>FE</v>
      </c>
      <c r="D257" s="73">
        <f>ROUND(B257*((100-9.48)/255) +9.48,1)</f>
        <v>99.6</v>
      </c>
      <c r="E257" s="39" t="str">
        <f>",0x" &amp;DEC2HEX(ROUND(D257,0))</f>
        <v>,0x64</v>
      </c>
      <c r="G257" s="76">
        <f>B257*(1063)/255</f>
        <v>1058.8313725490195</v>
      </c>
      <c r="H257" s="153" t="str">
        <f>"," &amp;ROUND(G257/10,0)</f>
        <v>,106</v>
      </c>
      <c r="K257" s="63">
        <v>248</v>
      </c>
      <c r="M257" s="73">
        <f t="shared" si="62"/>
        <v>2.4900000000000002</v>
      </c>
      <c r="O257" s="72">
        <f t="shared" si="63"/>
        <v>19.920000000000002</v>
      </c>
      <c r="Q257" s="73">
        <f t="shared" si="64"/>
        <v>-0.2</v>
      </c>
      <c r="R257" s="39" t="str">
        <f t="shared" si="65"/>
        <v>80</v>
      </c>
      <c r="T257" s="77">
        <f t="shared" si="66"/>
        <v>129.4</v>
      </c>
      <c r="U257" s="155">
        <f t="shared" si="67"/>
        <v>169.4</v>
      </c>
      <c r="V257" s="39" t="str">
        <f t="shared" si="68"/>
        <v>,0xA9</v>
      </c>
      <c r="X257" s="77">
        <f t="shared" si="69"/>
        <v>129.4</v>
      </c>
      <c r="Y257" s="155">
        <f t="shared" si="70"/>
        <v>169.4</v>
      </c>
      <c r="Z257" s="39" t="str">
        <f t="shared" si="71"/>
        <v>,0xA9</v>
      </c>
      <c r="AB257" s="73">
        <f t="shared" si="72"/>
        <v>99</v>
      </c>
      <c r="AD257" s="157">
        <f t="shared" si="73"/>
        <v>0.50800000000000001</v>
      </c>
      <c r="AE257" s="157">
        <f t="shared" si="74"/>
        <v>130.05000000000001</v>
      </c>
      <c r="AG257" s="63" t="str">
        <f t="shared" si="75"/>
        <v>FE</v>
      </c>
      <c r="AJ257" s="63" t="str">
        <f t="shared" si="76"/>
        <v>FE</v>
      </c>
      <c r="AM257" s="63" t="str">
        <f t="shared" si="77"/>
        <v>FE</v>
      </c>
      <c r="AP257" s="63" t="str">
        <f t="shared" si="78"/>
        <v>FE</v>
      </c>
      <c r="AS257" s="63" t="str">
        <f t="shared" si="79"/>
        <v>FE</v>
      </c>
    </row>
    <row r="258" spans="1:45">
      <c r="A258" s="35" t="str">
        <f t="shared" si="60"/>
        <v>,249</v>
      </c>
      <c r="B258" s="35">
        <v>255</v>
      </c>
      <c r="C258" s="35" t="str">
        <f t="shared" si="61"/>
        <v>FF</v>
      </c>
      <c r="D258" s="73">
        <f>ROUND(B258*((100-9.48)/255) +9.48,1)</f>
        <v>100</v>
      </c>
      <c r="E258" s="39" t="str">
        <f>",0x" &amp;DEC2HEX(ROUND(D258,0))</f>
        <v>,0x64</v>
      </c>
      <c r="G258" s="76">
        <f>B258*(1063)/255</f>
        <v>1063</v>
      </c>
      <c r="H258" s="153" t="str">
        <f>"," &amp;ROUND(G258/10,0)</f>
        <v>,106</v>
      </c>
      <c r="K258" s="63">
        <v>249</v>
      </c>
      <c r="M258" s="73">
        <f t="shared" si="62"/>
        <v>2.5</v>
      </c>
      <c r="O258" s="72">
        <f t="shared" si="63"/>
        <v>20</v>
      </c>
      <c r="Q258" s="73">
        <f t="shared" si="64"/>
        <v>0</v>
      </c>
      <c r="R258" s="39" t="str">
        <f t="shared" si="65"/>
        <v>80</v>
      </c>
      <c r="T258" s="77">
        <f t="shared" si="66"/>
        <v>130</v>
      </c>
      <c r="U258" s="155">
        <f t="shared" si="67"/>
        <v>170</v>
      </c>
      <c r="V258" s="39" t="str">
        <f t="shared" si="68"/>
        <v>,0xAA</v>
      </c>
      <c r="X258" s="77">
        <f t="shared" si="69"/>
        <v>130</v>
      </c>
      <c r="Y258" s="155">
        <f t="shared" si="70"/>
        <v>170</v>
      </c>
      <c r="Z258" s="39" t="str">
        <f t="shared" si="71"/>
        <v>,0xAA</v>
      </c>
      <c r="AB258" s="73">
        <f t="shared" si="72"/>
        <v>100</v>
      </c>
      <c r="AD258" s="157">
        <f t="shared" si="73"/>
        <v>0.51</v>
      </c>
      <c r="AE258" s="157">
        <f t="shared" si="74"/>
        <v>130.56200000000001</v>
      </c>
      <c r="AG258" s="63" t="str">
        <f t="shared" si="75"/>
        <v>FF</v>
      </c>
      <c r="AJ258" s="63" t="str">
        <f t="shared" si="76"/>
        <v>FF</v>
      </c>
      <c r="AM258" s="63" t="str">
        <f t="shared" si="77"/>
        <v>FF</v>
      </c>
      <c r="AP258" s="63" t="str">
        <f t="shared" si="78"/>
        <v>FF</v>
      </c>
      <c r="AS258" s="63" t="str">
        <f t="shared" si="79"/>
        <v>FF</v>
      </c>
    </row>
  </sheetData>
  <sortState ref="Z4:Z181">
    <sortCondition ref="Z4"/>
  </sortState>
  <mergeCells count="6">
    <mergeCell ref="AG1:AH1"/>
    <mergeCell ref="AJ1:AK1"/>
    <mergeCell ref="AM1:AN1"/>
    <mergeCell ref="B1:C1"/>
    <mergeCell ref="AP1:AQ1"/>
    <mergeCell ref="AS1:AT1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6"/>
  <sheetViews>
    <sheetView workbookViewId="0">
      <pane ySplit="1" topLeftCell="A2" activePane="bottomLeft" state="frozenSplit"/>
      <selection pane="bottomLeft" activeCell="D7" sqref="D7"/>
    </sheetView>
  </sheetViews>
  <sheetFormatPr baseColWidth="10" defaultRowHeight="15" x14ac:dyDescent="0"/>
  <cols>
    <col min="1" max="1" width="18.6640625" bestFit="1" customWidth="1"/>
    <col min="2" max="2" width="18.6640625" style="34" bestFit="1" customWidth="1"/>
    <col min="3" max="3" width="5.6640625" style="34" bestFit="1" customWidth="1"/>
    <col min="4" max="4" width="10.1640625" style="34" bestFit="1" customWidth="1"/>
    <col min="5" max="5" width="5.1640625" style="34" bestFit="1" customWidth="1"/>
    <col min="6" max="6" width="9.83203125" style="34" bestFit="1" customWidth="1"/>
  </cols>
  <sheetData>
    <row r="1" spans="1:6">
      <c r="A1" s="42" t="s">
        <v>412</v>
      </c>
      <c r="B1" s="75" t="s">
        <v>410</v>
      </c>
      <c r="C1" s="75" t="s">
        <v>6</v>
      </c>
      <c r="D1" s="75" t="s">
        <v>379</v>
      </c>
      <c r="E1" s="75" t="s">
        <v>378</v>
      </c>
      <c r="F1" s="75" t="s">
        <v>411</v>
      </c>
    </row>
    <row r="2" spans="1:6" s="37" customFormat="1">
      <c r="A2" s="37" t="s">
        <v>381</v>
      </c>
      <c r="B2" s="38" t="s">
        <v>381</v>
      </c>
      <c r="C2" s="38" t="s">
        <v>38</v>
      </c>
      <c r="D2" s="38">
        <v>64000</v>
      </c>
      <c r="E2" s="38">
        <v>0</v>
      </c>
      <c r="F2" s="38" t="s">
        <v>486</v>
      </c>
    </row>
    <row r="3" spans="1:6" s="37" customFormat="1">
      <c r="A3" s="37" t="s">
        <v>346</v>
      </c>
      <c r="B3" s="38" t="s">
        <v>346</v>
      </c>
      <c r="C3" s="38" t="s">
        <v>483</v>
      </c>
      <c r="D3" s="38">
        <v>1063</v>
      </c>
      <c r="E3" s="38">
        <v>0</v>
      </c>
      <c r="F3" s="38" t="s">
        <v>413</v>
      </c>
    </row>
    <row r="4" spans="1:6" s="37" customFormat="1">
      <c r="A4" s="37" t="s">
        <v>408</v>
      </c>
      <c r="B4" s="38" t="s">
        <v>408</v>
      </c>
      <c r="C4" s="38" t="s">
        <v>84</v>
      </c>
      <c r="D4" s="38">
        <v>2.5</v>
      </c>
      <c r="E4" s="38">
        <v>0</v>
      </c>
      <c r="F4" s="38" t="s">
        <v>496</v>
      </c>
    </row>
    <row r="5" spans="1:6" s="37" customFormat="1">
      <c r="A5" s="37" t="s">
        <v>409</v>
      </c>
      <c r="B5" s="38" t="s">
        <v>409</v>
      </c>
      <c r="C5" s="38" t="s">
        <v>84</v>
      </c>
      <c r="D5" s="38">
        <v>2.5</v>
      </c>
      <c r="E5" s="38">
        <v>0</v>
      </c>
      <c r="F5" s="38" t="s">
        <v>414</v>
      </c>
    </row>
    <row r="6" spans="1:6" s="37" customFormat="1">
      <c r="A6" s="37" t="s">
        <v>343</v>
      </c>
      <c r="B6" s="38" t="s">
        <v>343</v>
      </c>
      <c r="C6" s="38" t="s">
        <v>84</v>
      </c>
      <c r="D6" s="38">
        <v>20</v>
      </c>
      <c r="E6" s="38">
        <v>0</v>
      </c>
      <c r="F6" s="38" t="s">
        <v>415</v>
      </c>
    </row>
    <row r="7" spans="1:6">
      <c r="A7" s="62" t="s">
        <v>416</v>
      </c>
      <c r="B7" s="84" t="s">
        <v>416</v>
      </c>
      <c r="C7" s="84" t="s">
        <v>417</v>
      </c>
      <c r="D7" s="84">
        <v>131.072</v>
      </c>
      <c r="E7" s="84">
        <v>0</v>
      </c>
      <c r="F7" s="84" t="s">
        <v>487</v>
      </c>
    </row>
    <row r="8" spans="1:6">
      <c r="A8" s="62" t="s">
        <v>418</v>
      </c>
      <c r="B8" s="84" t="s">
        <v>419</v>
      </c>
      <c r="C8" s="84" t="s">
        <v>417</v>
      </c>
      <c r="D8" s="84">
        <v>131.072</v>
      </c>
      <c r="E8" s="84">
        <v>0</v>
      </c>
      <c r="F8" s="84" t="s">
        <v>488</v>
      </c>
    </row>
    <row r="9" spans="1:6" s="37" customFormat="1">
      <c r="A9" s="37" t="s">
        <v>382</v>
      </c>
      <c r="B9" s="38" t="s">
        <v>382</v>
      </c>
      <c r="C9" s="38" t="s">
        <v>420</v>
      </c>
      <c r="D9" s="38">
        <v>0</v>
      </c>
      <c r="E9" s="38">
        <v>-60</v>
      </c>
      <c r="F9" s="38" t="s">
        <v>489</v>
      </c>
    </row>
    <row r="10" spans="1:6" s="37" customFormat="1">
      <c r="A10" s="37" t="s">
        <v>407</v>
      </c>
      <c r="B10" s="38" t="s">
        <v>407</v>
      </c>
      <c r="C10" s="38" t="s">
        <v>421</v>
      </c>
      <c r="D10" s="38">
        <v>100</v>
      </c>
      <c r="E10" s="38">
        <v>9.48</v>
      </c>
      <c r="F10" s="38" t="s">
        <v>490</v>
      </c>
    </row>
    <row r="11" spans="1:6" s="37" customFormat="1">
      <c r="A11" s="37" t="s">
        <v>406</v>
      </c>
      <c r="B11" s="38" t="s">
        <v>406</v>
      </c>
      <c r="C11" s="38" t="s">
        <v>421</v>
      </c>
      <c r="D11" s="38">
        <v>100</v>
      </c>
      <c r="E11" s="38">
        <v>9.48</v>
      </c>
      <c r="F11" s="38" t="s">
        <v>491</v>
      </c>
    </row>
    <row r="12" spans="1:6" s="37" customFormat="1">
      <c r="A12" s="37" t="s">
        <v>337</v>
      </c>
      <c r="B12" s="38" t="s">
        <v>337</v>
      </c>
      <c r="C12" s="38" t="s">
        <v>246</v>
      </c>
      <c r="D12" s="38">
        <v>130</v>
      </c>
      <c r="E12" s="38">
        <v>-30</v>
      </c>
      <c r="F12" s="38" t="s">
        <v>492</v>
      </c>
    </row>
    <row r="13" spans="1:6" s="37" customFormat="1">
      <c r="A13" s="37" t="s">
        <v>405</v>
      </c>
      <c r="B13" s="38" t="s">
        <v>405</v>
      </c>
      <c r="C13" s="38" t="s">
        <v>246</v>
      </c>
      <c r="D13" s="38">
        <v>130</v>
      </c>
      <c r="E13" s="38">
        <v>-30</v>
      </c>
      <c r="F13" s="38" t="s">
        <v>493</v>
      </c>
    </row>
    <row r="14" spans="1:6">
      <c r="A14" s="37" t="s">
        <v>422</v>
      </c>
      <c r="B14" s="38" t="s">
        <v>422</v>
      </c>
      <c r="C14" s="38" t="s">
        <v>421</v>
      </c>
      <c r="D14" s="38">
        <v>100</v>
      </c>
      <c r="E14" s="38">
        <v>-100</v>
      </c>
      <c r="F14" s="38" t="s">
        <v>494</v>
      </c>
    </row>
    <row r="15" spans="1:6">
      <c r="A15" s="37" t="s">
        <v>423</v>
      </c>
      <c r="B15" s="38" t="s">
        <v>423</v>
      </c>
      <c r="C15" s="38" t="s">
        <v>421</v>
      </c>
      <c r="D15" s="38">
        <v>100</v>
      </c>
      <c r="E15" s="38">
        <v>-100</v>
      </c>
      <c r="F15" s="38" t="s">
        <v>495</v>
      </c>
    </row>
    <row r="16" spans="1:6" s="37" customFormat="1">
      <c r="A16" s="37" t="s">
        <v>424</v>
      </c>
      <c r="B16" s="38" t="s">
        <v>424</v>
      </c>
      <c r="C16" s="38" t="s">
        <v>425</v>
      </c>
      <c r="D16" s="38" t="s">
        <v>484</v>
      </c>
      <c r="E16" s="38" t="s">
        <v>427</v>
      </c>
      <c r="F16" s="38" t="s">
        <v>426</v>
      </c>
    </row>
    <row r="17" spans="1:6" s="37" customFormat="1">
      <c r="A17" s="37" t="s">
        <v>440</v>
      </c>
      <c r="B17" s="38" t="s">
        <v>440</v>
      </c>
      <c r="C17" s="38" t="s">
        <v>425</v>
      </c>
      <c r="D17" s="38" t="s">
        <v>484</v>
      </c>
      <c r="E17" s="38" t="s">
        <v>427</v>
      </c>
      <c r="F17" s="38" t="s">
        <v>428</v>
      </c>
    </row>
    <row r="18" spans="1:6" s="37" customFormat="1">
      <c r="A18" s="37" t="s">
        <v>441</v>
      </c>
      <c r="B18" s="38" t="s">
        <v>441</v>
      </c>
      <c r="C18" s="38" t="s">
        <v>425</v>
      </c>
      <c r="D18" s="38" t="s">
        <v>484</v>
      </c>
      <c r="E18" s="38" t="s">
        <v>427</v>
      </c>
      <c r="F18" s="38" t="s">
        <v>429</v>
      </c>
    </row>
    <row r="19" spans="1:6" s="37" customFormat="1">
      <c r="A19" s="37" t="s">
        <v>369</v>
      </c>
      <c r="B19" s="38" t="s">
        <v>369</v>
      </c>
      <c r="C19" s="38" t="s">
        <v>425</v>
      </c>
      <c r="D19" s="38" t="s">
        <v>449</v>
      </c>
      <c r="E19" s="38" t="s">
        <v>438</v>
      </c>
      <c r="F19" s="38" t="s">
        <v>430</v>
      </c>
    </row>
    <row r="20" spans="1:6" s="37" customFormat="1">
      <c r="A20" s="37" t="s">
        <v>337</v>
      </c>
      <c r="B20" s="38" t="s">
        <v>337</v>
      </c>
      <c r="C20" s="38" t="s">
        <v>425</v>
      </c>
      <c r="D20" s="38" t="s">
        <v>449</v>
      </c>
      <c r="E20" s="38" t="s">
        <v>439</v>
      </c>
      <c r="F20" s="38" t="s">
        <v>431</v>
      </c>
    </row>
    <row r="21" spans="1:6" s="37" customFormat="1">
      <c r="A21" s="37" t="s">
        <v>392</v>
      </c>
      <c r="B21" s="38" t="s">
        <v>392</v>
      </c>
      <c r="C21" s="38" t="s">
        <v>425</v>
      </c>
      <c r="D21" s="38" t="s">
        <v>449</v>
      </c>
      <c r="E21" s="38" t="s">
        <v>439</v>
      </c>
      <c r="F21" s="38" t="s">
        <v>432</v>
      </c>
    </row>
    <row r="22" spans="1:6" s="37" customFormat="1">
      <c r="A22" s="37" t="s">
        <v>393</v>
      </c>
      <c r="B22" s="38" t="s">
        <v>393</v>
      </c>
      <c r="C22" s="38" t="s">
        <v>425</v>
      </c>
      <c r="D22" s="38" t="s">
        <v>449</v>
      </c>
      <c r="E22" s="38" t="s">
        <v>439</v>
      </c>
      <c r="F22" s="38" t="s">
        <v>433</v>
      </c>
    </row>
    <row r="23" spans="1:6" s="37" customFormat="1">
      <c r="A23" s="37" t="s">
        <v>338</v>
      </c>
      <c r="B23" s="38" t="s">
        <v>338</v>
      </c>
      <c r="C23" s="38" t="s">
        <v>425</v>
      </c>
      <c r="D23" s="38" t="s">
        <v>449</v>
      </c>
      <c r="E23" s="38" t="s">
        <v>439</v>
      </c>
      <c r="F23" s="38" t="s">
        <v>434</v>
      </c>
    </row>
    <row r="24" spans="1:6" s="37" customFormat="1">
      <c r="A24" s="37" t="s">
        <v>351</v>
      </c>
      <c r="B24" s="38" t="s">
        <v>351</v>
      </c>
      <c r="C24" s="38" t="s">
        <v>425</v>
      </c>
      <c r="D24" s="38" t="s">
        <v>449</v>
      </c>
      <c r="E24" s="38" t="s">
        <v>439</v>
      </c>
      <c r="F24" s="38" t="s">
        <v>435</v>
      </c>
    </row>
    <row r="25" spans="1:6" s="37" customFormat="1">
      <c r="A25" s="37" t="s">
        <v>408</v>
      </c>
      <c r="B25" s="38" t="s">
        <v>408</v>
      </c>
      <c r="C25" s="38" t="s">
        <v>425</v>
      </c>
      <c r="D25" s="38" t="s">
        <v>449</v>
      </c>
      <c r="E25" s="38" t="s">
        <v>439</v>
      </c>
      <c r="F25" s="38" t="s">
        <v>436</v>
      </c>
    </row>
    <row r="26" spans="1:6" s="37" customFormat="1">
      <c r="A26" s="37" t="s">
        <v>409</v>
      </c>
      <c r="B26" s="38" t="s">
        <v>409</v>
      </c>
      <c r="C26" s="38" t="s">
        <v>425</v>
      </c>
      <c r="D26" s="38" t="s">
        <v>449</v>
      </c>
      <c r="E26" s="38" t="s">
        <v>439</v>
      </c>
      <c r="F26" s="38" t="s">
        <v>437</v>
      </c>
    </row>
    <row r="27" spans="1:6" s="37" customFormat="1">
      <c r="A27" s="37" t="s">
        <v>340</v>
      </c>
      <c r="B27" s="38" t="s">
        <v>340</v>
      </c>
      <c r="C27" s="38" t="s">
        <v>425</v>
      </c>
      <c r="D27" s="38" t="s">
        <v>443</v>
      </c>
      <c r="E27" s="38" t="s">
        <v>438</v>
      </c>
      <c r="F27" s="38" t="s">
        <v>442</v>
      </c>
    </row>
    <row r="28" spans="1:6" s="37" customFormat="1">
      <c r="A28" s="37" t="s">
        <v>444</v>
      </c>
      <c r="B28" s="38" t="s">
        <v>444</v>
      </c>
      <c r="C28" s="38" t="s">
        <v>425</v>
      </c>
      <c r="D28" s="38" t="s">
        <v>449</v>
      </c>
      <c r="E28" s="38" t="s">
        <v>439</v>
      </c>
      <c r="F28" s="38" t="s">
        <v>445</v>
      </c>
    </row>
    <row r="29" spans="1:6" s="37" customFormat="1">
      <c r="A29" s="37" t="s">
        <v>447</v>
      </c>
      <c r="B29" s="38" t="s">
        <v>447</v>
      </c>
      <c r="C29" s="38" t="s">
        <v>425</v>
      </c>
      <c r="D29" s="38" t="s">
        <v>449</v>
      </c>
      <c r="E29" s="38" t="s">
        <v>438</v>
      </c>
      <c r="F29" s="38" t="s">
        <v>446</v>
      </c>
    </row>
    <row r="30" spans="1:6" s="37" customFormat="1">
      <c r="A30" s="37" t="s">
        <v>357</v>
      </c>
      <c r="B30" s="38" t="s">
        <v>357</v>
      </c>
      <c r="C30" s="38" t="s">
        <v>425</v>
      </c>
      <c r="D30" s="38" t="s">
        <v>449</v>
      </c>
      <c r="E30" s="38" t="s">
        <v>438</v>
      </c>
      <c r="F30" s="38" t="s">
        <v>448</v>
      </c>
    </row>
    <row r="32" spans="1:6" s="37" customFormat="1">
      <c r="A32" s="37" t="s">
        <v>460</v>
      </c>
      <c r="B32" s="38" t="s">
        <v>460</v>
      </c>
      <c r="C32" s="38" t="s">
        <v>425</v>
      </c>
      <c r="D32" s="38" t="s">
        <v>390</v>
      </c>
      <c r="E32" s="38" t="s">
        <v>438</v>
      </c>
      <c r="F32" s="38" t="s">
        <v>461</v>
      </c>
    </row>
    <row r="33" spans="1:6" s="37" customFormat="1">
      <c r="A33" s="37" t="s">
        <v>450</v>
      </c>
      <c r="B33" s="38" t="s">
        <v>450</v>
      </c>
      <c r="C33" s="38" t="s">
        <v>425</v>
      </c>
      <c r="D33" s="38" t="s">
        <v>390</v>
      </c>
      <c r="E33" s="38" t="s">
        <v>438</v>
      </c>
      <c r="F33" s="38" t="s">
        <v>451</v>
      </c>
    </row>
    <row r="34" spans="1:6" s="37" customFormat="1">
      <c r="A34" s="37" t="s">
        <v>452</v>
      </c>
      <c r="B34" s="38" t="s">
        <v>485</v>
      </c>
      <c r="C34" s="38" t="s">
        <v>425</v>
      </c>
      <c r="D34" s="38" t="s">
        <v>390</v>
      </c>
      <c r="E34" s="38" t="s">
        <v>438</v>
      </c>
      <c r="F34" s="38" t="s">
        <v>453</v>
      </c>
    </row>
    <row r="35" spans="1:6" s="37" customFormat="1">
      <c r="A35" s="37" t="s">
        <v>457</v>
      </c>
      <c r="B35" s="38" t="s">
        <v>457</v>
      </c>
      <c r="C35" s="38" t="s">
        <v>425</v>
      </c>
      <c r="D35" s="38" t="s">
        <v>390</v>
      </c>
      <c r="E35" s="38" t="s">
        <v>438</v>
      </c>
      <c r="F35" s="38" t="s">
        <v>454</v>
      </c>
    </row>
    <row r="36" spans="1:6" s="37" customFormat="1">
      <c r="A36" s="37" t="s">
        <v>464</v>
      </c>
      <c r="B36" s="38" t="s">
        <v>464</v>
      </c>
      <c r="C36" s="38" t="s">
        <v>425</v>
      </c>
      <c r="D36" s="38" t="s">
        <v>390</v>
      </c>
      <c r="E36" s="38" t="s">
        <v>439</v>
      </c>
      <c r="F36" s="38" t="s">
        <v>462</v>
      </c>
    </row>
    <row r="37" spans="1:6" s="37" customFormat="1">
      <c r="A37" s="37" t="s">
        <v>458</v>
      </c>
      <c r="B37" s="38" t="s">
        <v>458</v>
      </c>
      <c r="C37" s="38" t="s">
        <v>425</v>
      </c>
      <c r="D37" s="38" t="s">
        <v>390</v>
      </c>
      <c r="E37" s="38" t="s">
        <v>438</v>
      </c>
      <c r="F37" s="38" t="s">
        <v>455</v>
      </c>
    </row>
    <row r="38" spans="1:6" s="37" customFormat="1">
      <c r="A38" s="37" t="s">
        <v>465</v>
      </c>
      <c r="B38" s="38" t="s">
        <v>465</v>
      </c>
      <c r="C38" s="38" t="s">
        <v>425</v>
      </c>
      <c r="D38" s="38" t="s">
        <v>390</v>
      </c>
      <c r="E38" s="38" t="s">
        <v>438</v>
      </c>
      <c r="F38" s="38" t="s">
        <v>463</v>
      </c>
    </row>
    <row r="39" spans="1:6" s="37" customFormat="1">
      <c r="A39" s="37" t="s">
        <v>459</v>
      </c>
      <c r="B39" s="38" t="s">
        <v>459</v>
      </c>
      <c r="C39" s="38" t="s">
        <v>425</v>
      </c>
      <c r="D39" s="38" t="s">
        <v>390</v>
      </c>
      <c r="E39" s="38" t="s">
        <v>438</v>
      </c>
      <c r="F39" s="38" t="s">
        <v>456</v>
      </c>
    </row>
    <row r="41" spans="1:6" s="37" customFormat="1">
      <c r="A41" s="37" t="s">
        <v>471</v>
      </c>
      <c r="B41" s="38" t="s">
        <v>471</v>
      </c>
      <c r="C41" s="38" t="s">
        <v>425</v>
      </c>
      <c r="D41" s="38" t="s">
        <v>466</v>
      </c>
      <c r="E41" s="38" t="s">
        <v>438</v>
      </c>
      <c r="F41" s="38" t="s">
        <v>467</v>
      </c>
    </row>
    <row r="42" spans="1:6" s="37" customFormat="1">
      <c r="A42" s="37" t="s">
        <v>472</v>
      </c>
      <c r="B42" s="38" t="s">
        <v>472</v>
      </c>
      <c r="C42" s="38" t="s">
        <v>425</v>
      </c>
      <c r="D42" s="38" t="s">
        <v>466</v>
      </c>
      <c r="E42" s="38" t="s">
        <v>438</v>
      </c>
      <c r="F42" s="38" t="s">
        <v>468</v>
      </c>
    </row>
    <row r="43" spans="1:6" s="37" customFormat="1">
      <c r="A43" s="37" t="s">
        <v>473</v>
      </c>
      <c r="B43" s="38" t="s">
        <v>473</v>
      </c>
      <c r="C43" s="38" t="s">
        <v>425</v>
      </c>
      <c r="D43" s="38" t="s">
        <v>466</v>
      </c>
      <c r="E43" s="38" t="s">
        <v>438</v>
      </c>
      <c r="F43" s="38" t="s">
        <v>469</v>
      </c>
    </row>
    <row r="44" spans="1:6" s="37" customFormat="1">
      <c r="A44" s="37" t="s">
        <v>337</v>
      </c>
      <c r="B44" s="38" t="s">
        <v>337</v>
      </c>
      <c r="C44" s="38" t="s">
        <v>425</v>
      </c>
      <c r="D44" s="38" t="s">
        <v>466</v>
      </c>
      <c r="E44" s="38" t="s">
        <v>438</v>
      </c>
      <c r="F44" s="38" t="s">
        <v>470</v>
      </c>
    </row>
    <row r="45" spans="1:6" s="37" customFormat="1">
      <c r="A45" s="37" t="s">
        <v>474</v>
      </c>
      <c r="B45" s="38" t="s">
        <v>474</v>
      </c>
      <c r="C45" s="38" t="s">
        <v>425</v>
      </c>
      <c r="D45" s="38" t="s">
        <v>466</v>
      </c>
      <c r="E45" s="38" t="s">
        <v>438</v>
      </c>
      <c r="F45" s="38" t="s">
        <v>475</v>
      </c>
    </row>
    <row r="46" spans="1:6" s="37" customFormat="1">
      <c r="A46" s="37" t="s">
        <v>477</v>
      </c>
      <c r="B46" s="38" t="s">
        <v>477</v>
      </c>
      <c r="C46" s="38" t="s">
        <v>425</v>
      </c>
      <c r="D46" s="38" t="s">
        <v>466</v>
      </c>
      <c r="E46" s="38" t="s">
        <v>438</v>
      </c>
      <c r="F46" s="38" t="s">
        <v>476</v>
      </c>
    </row>
    <row r="47" spans="1:6" s="37" customFormat="1">
      <c r="A47" s="37" t="s">
        <v>478</v>
      </c>
      <c r="B47" s="38" t="s">
        <v>478</v>
      </c>
      <c r="C47" s="38" t="s">
        <v>425</v>
      </c>
      <c r="D47" s="38" t="s">
        <v>466</v>
      </c>
      <c r="E47" s="38" t="s">
        <v>438</v>
      </c>
      <c r="F47" s="38" t="s">
        <v>479</v>
      </c>
    </row>
    <row r="48" spans="1:6" s="37" customFormat="1">
      <c r="A48" s="37" t="s">
        <v>480</v>
      </c>
      <c r="B48" s="38" t="s">
        <v>480</v>
      </c>
      <c r="C48" s="38" t="s">
        <v>425</v>
      </c>
      <c r="D48" s="38" t="s">
        <v>482</v>
      </c>
      <c r="E48" s="38" t="s">
        <v>438</v>
      </c>
      <c r="F48" s="38" t="s">
        <v>481</v>
      </c>
    </row>
    <row r="50" spans="1:6">
      <c r="A50" t="s">
        <v>511</v>
      </c>
      <c r="B50" s="34" t="s">
        <v>511</v>
      </c>
      <c r="C50" s="34" t="s">
        <v>512</v>
      </c>
      <c r="D50" s="34">
        <v>160</v>
      </c>
      <c r="E50" s="34">
        <v>0</v>
      </c>
      <c r="F50" s="34" t="s">
        <v>513</v>
      </c>
    </row>
    <row r="52" spans="1:6">
      <c r="A52" t="s">
        <v>503</v>
      </c>
      <c r="B52" s="34" t="s">
        <v>503</v>
      </c>
      <c r="C52" s="34" t="s">
        <v>504</v>
      </c>
      <c r="D52" s="34">
        <v>68719</v>
      </c>
      <c r="E52" s="34">
        <v>0</v>
      </c>
      <c r="F52" s="34" t="s">
        <v>505</v>
      </c>
    </row>
    <row r="53" spans="1:6">
      <c r="A53" t="s">
        <v>503</v>
      </c>
      <c r="B53" s="34" t="s">
        <v>503</v>
      </c>
      <c r="C53" s="34" t="s">
        <v>504</v>
      </c>
      <c r="D53" s="34">
        <v>8589.9</v>
      </c>
      <c r="E53" s="34">
        <v>0</v>
      </c>
      <c r="F53" s="34" t="s">
        <v>506</v>
      </c>
    </row>
    <row r="54" spans="1:6">
      <c r="A54" t="s">
        <v>507</v>
      </c>
      <c r="B54" s="34" t="s">
        <v>508</v>
      </c>
      <c r="C54" s="34" t="s">
        <v>380</v>
      </c>
      <c r="D54" s="34">
        <v>4000</v>
      </c>
      <c r="E54" s="34">
        <v>0</v>
      </c>
      <c r="F54" s="34" t="s">
        <v>509</v>
      </c>
    </row>
    <row r="97" spans="8:10">
      <c r="H97" t="s">
        <v>497</v>
      </c>
      <c r="I97" t="s">
        <v>498</v>
      </c>
      <c r="J97" t="s">
        <v>499</v>
      </c>
    </row>
    <row r="98" spans="8:10">
      <c r="H98" t="s">
        <v>497</v>
      </c>
      <c r="I98" t="s">
        <v>498</v>
      </c>
      <c r="J98" t="s">
        <v>499</v>
      </c>
    </row>
    <row r="104" spans="8:10">
      <c r="H104" t="s">
        <v>510</v>
      </c>
    </row>
    <row r="105" spans="8:10">
      <c r="H105" t="s">
        <v>500</v>
      </c>
      <c r="I105" t="s">
        <v>501</v>
      </c>
    </row>
    <row r="106" spans="8:10">
      <c r="H106" t="s">
        <v>502</v>
      </c>
      <c r="I106" t="s">
        <v>501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52"/>
  <sheetViews>
    <sheetView workbookViewId="0"/>
  </sheetViews>
  <sheetFormatPr baseColWidth="10" defaultRowHeight="15" x14ac:dyDescent="0"/>
  <sheetData>
    <row r="1" spans="1:1">
      <c r="A1" s="81" t="s">
        <v>515</v>
      </c>
    </row>
    <row r="2" spans="1:1">
      <c r="A2" s="81" t="s">
        <v>516</v>
      </c>
    </row>
    <row r="3" spans="1:1">
      <c r="A3" s="81" t="s">
        <v>517</v>
      </c>
    </row>
    <row r="4" spans="1:1">
      <c r="A4" s="81" t="s">
        <v>518</v>
      </c>
    </row>
    <row r="5" spans="1:1">
      <c r="A5" s="81" t="s">
        <v>519</v>
      </c>
    </row>
    <row r="6" spans="1:1">
      <c r="A6" s="81" t="s">
        <v>520</v>
      </c>
    </row>
    <row r="7" spans="1:1">
      <c r="A7" s="81" t="s">
        <v>521</v>
      </c>
    </row>
    <row r="8" spans="1:1">
      <c r="A8" s="81" t="s">
        <v>522</v>
      </c>
    </row>
    <row r="9" spans="1:1">
      <c r="A9" s="81" t="s">
        <v>523</v>
      </c>
    </row>
    <row r="10" spans="1:1">
      <c r="A10" s="81" t="s">
        <v>524</v>
      </c>
    </row>
    <row r="11" spans="1:1">
      <c r="A11" s="81" t="s">
        <v>525</v>
      </c>
    </row>
    <row r="12" spans="1:1">
      <c r="A12" s="81" t="s">
        <v>526</v>
      </c>
    </row>
    <row r="13" spans="1:1">
      <c r="A13" s="81" t="s">
        <v>527</v>
      </c>
    </row>
    <row r="14" spans="1:1">
      <c r="A14" s="81" t="s">
        <v>528</v>
      </c>
    </row>
    <row r="15" spans="1:1">
      <c r="A15" s="81" t="s">
        <v>529</v>
      </c>
    </row>
    <row r="16" spans="1:1">
      <c r="A16" s="81" t="s">
        <v>530</v>
      </c>
    </row>
    <row r="17" spans="1:1">
      <c r="A17" s="81" t="s">
        <v>531</v>
      </c>
    </row>
    <row r="18" spans="1:1">
      <c r="A18" s="81" t="s">
        <v>532</v>
      </c>
    </row>
    <row r="19" spans="1:1">
      <c r="A19" s="81" t="s">
        <v>533</v>
      </c>
    </row>
    <row r="20" spans="1:1">
      <c r="A20" s="81" t="s">
        <v>534</v>
      </c>
    </row>
    <row r="21" spans="1:1">
      <c r="A21" s="81" t="s">
        <v>535</v>
      </c>
    </row>
    <row r="22" spans="1:1">
      <c r="A22" s="81" t="s">
        <v>536</v>
      </c>
    </row>
    <row r="23" spans="1:1">
      <c r="A23" s="81" t="s">
        <v>537</v>
      </c>
    </row>
    <row r="24" spans="1:1">
      <c r="A24" s="81" t="s">
        <v>538</v>
      </c>
    </row>
    <row r="25" spans="1:1">
      <c r="A25" s="81" t="s">
        <v>539</v>
      </c>
    </row>
    <row r="26" spans="1:1">
      <c r="A26" s="81" t="s">
        <v>540</v>
      </c>
    </row>
    <row r="27" spans="1:1">
      <c r="A27" s="81" t="s">
        <v>541</v>
      </c>
    </row>
    <row r="28" spans="1:1">
      <c r="A28" s="81" t="s">
        <v>542</v>
      </c>
    </row>
    <row r="29" spans="1:1">
      <c r="A29" s="81" t="s">
        <v>543</v>
      </c>
    </row>
    <row r="30" spans="1:1">
      <c r="A30" s="81" t="s">
        <v>544</v>
      </c>
    </row>
    <row r="31" spans="1:1">
      <c r="A31" s="81" t="s">
        <v>545</v>
      </c>
    </row>
    <row r="32" spans="1:1">
      <c r="A32" s="81" t="s">
        <v>546</v>
      </c>
    </row>
    <row r="33" spans="1:1">
      <c r="A33" s="81" t="s">
        <v>547</v>
      </c>
    </row>
    <row r="34" spans="1:1">
      <c r="A34" s="81" t="s">
        <v>548</v>
      </c>
    </row>
    <row r="35" spans="1:1">
      <c r="A35" s="81" t="s">
        <v>549</v>
      </c>
    </row>
    <row r="36" spans="1:1">
      <c r="A36" s="81" t="s">
        <v>550</v>
      </c>
    </row>
    <row r="37" spans="1:1">
      <c r="A37" s="81" t="s">
        <v>551</v>
      </c>
    </row>
    <row r="38" spans="1:1">
      <c r="A38" s="81" t="s">
        <v>552</v>
      </c>
    </row>
    <row r="39" spans="1:1">
      <c r="A39" s="81" t="s">
        <v>553</v>
      </c>
    </row>
    <row r="40" spans="1:1">
      <c r="A40" s="81" t="s">
        <v>554</v>
      </c>
    </row>
    <row r="41" spans="1:1">
      <c r="A41" s="81" t="s">
        <v>555</v>
      </c>
    </row>
    <row r="42" spans="1:1">
      <c r="A42" s="81" t="s">
        <v>556</v>
      </c>
    </row>
    <row r="43" spans="1:1">
      <c r="A43" s="81" t="s">
        <v>557</v>
      </c>
    </row>
    <row r="44" spans="1:1">
      <c r="A44" s="81" t="s">
        <v>558</v>
      </c>
    </row>
    <row r="45" spans="1:1">
      <c r="A45" s="81" t="s">
        <v>559</v>
      </c>
    </row>
    <row r="46" spans="1:1">
      <c r="A46" s="81" t="s">
        <v>560</v>
      </c>
    </row>
    <row r="47" spans="1:1">
      <c r="A47" s="81" t="s">
        <v>561</v>
      </c>
    </row>
    <row r="48" spans="1:1">
      <c r="A48" s="81" t="s">
        <v>562</v>
      </c>
    </row>
    <row r="49" spans="1:1">
      <c r="A49" s="81" t="s">
        <v>563</v>
      </c>
    </row>
    <row r="50" spans="1:1">
      <c r="A50" s="81" t="s">
        <v>564</v>
      </c>
    </row>
    <row r="51" spans="1:1">
      <c r="A51" s="81" t="s">
        <v>565</v>
      </c>
    </row>
    <row r="52" spans="1:1">
      <c r="A52" s="81" t="s">
        <v>566</v>
      </c>
    </row>
    <row r="53" spans="1:1">
      <c r="A53" s="81" t="s">
        <v>567</v>
      </c>
    </row>
    <row r="54" spans="1:1">
      <c r="A54" s="81" t="s">
        <v>568</v>
      </c>
    </row>
    <row r="55" spans="1:1">
      <c r="A55" s="81" t="s">
        <v>569</v>
      </c>
    </row>
    <row r="56" spans="1:1">
      <c r="A56" s="81" t="s">
        <v>570</v>
      </c>
    </row>
    <row r="57" spans="1:1">
      <c r="A57" s="81" t="s">
        <v>571</v>
      </c>
    </row>
    <row r="58" spans="1:1">
      <c r="A58" s="81" t="s">
        <v>572</v>
      </c>
    </row>
    <row r="59" spans="1:1">
      <c r="A59" s="81" t="s">
        <v>573</v>
      </c>
    </row>
    <row r="60" spans="1:1">
      <c r="A60" s="81" t="s">
        <v>574</v>
      </c>
    </row>
    <row r="61" spans="1:1">
      <c r="A61" s="81" t="s">
        <v>575</v>
      </c>
    </row>
    <row r="62" spans="1:1">
      <c r="A62" s="81" t="s">
        <v>576</v>
      </c>
    </row>
    <row r="63" spans="1:1">
      <c r="A63" s="81" t="s">
        <v>577</v>
      </c>
    </row>
    <row r="64" spans="1:1">
      <c r="A64" s="81" t="s">
        <v>578</v>
      </c>
    </row>
    <row r="65" spans="1:1">
      <c r="A65" s="81" t="s">
        <v>579</v>
      </c>
    </row>
    <row r="66" spans="1:1">
      <c r="A66" s="81" t="s">
        <v>580</v>
      </c>
    </row>
    <row r="67" spans="1:1">
      <c r="A67" s="81" t="s">
        <v>581</v>
      </c>
    </row>
    <row r="68" spans="1:1">
      <c r="A68" s="81" t="s">
        <v>582</v>
      </c>
    </row>
    <row r="69" spans="1:1">
      <c r="A69" s="81" t="s">
        <v>583</v>
      </c>
    </row>
    <row r="70" spans="1:1">
      <c r="A70" s="81" t="s">
        <v>584</v>
      </c>
    </row>
    <row r="71" spans="1:1">
      <c r="A71" s="81" t="s">
        <v>585</v>
      </c>
    </row>
    <row r="72" spans="1:1">
      <c r="A72" s="81" t="s">
        <v>586</v>
      </c>
    </row>
    <row r="73" spans="1:1">
      <c r="A73" s="81" t="s">
        <v>587</v>
      </c>
    </row>
    <row r="74" spans="1:1">
      <c r="A74" s="81" t="s">
        <v>588</v>
      </c>
    </row>
    <row r="75" spans="1:1">
      <c r="A75" s="81" t="s">
        <v>589</v>
      </c>
    </row>
    <row r="76" spans="1:1">
      <c r="A76" s="81" t="s">
        <v>590</v>
      </c>
    </row>
    <row r="77" spans="1:1">
      <c r="A77" s="81" t="s">
        <v>591</v>
      </c>
    </row>
    <row r="78" spans="1:1">
      <c r="A78" s="81" t="s">
        <v>592</v>
      </c>
    </row>
    <row r="79" spans="1:1">
      <c r="A79" s="81" t="s">
        <v>593</v>
      </c>
    </row>
    <row r="80" spans="1:1">
      <c r="A80" s="81" t="s">
        <v>594</v>
      </c>
    </row>
    <row r="81" spans="1:1">
      <c r="A81" s="81" t="s">
        <v>595</v>
      </c>
    </row>
    <row r="82" spans="1:1">
      <c r="A82" s="81" t="s">
        <v>596</v>
      </c>
    </row>
    <row r="83" spans="1:1">
      <c r="A83" s="81" t="s">
        <v>597</v>
      </c>
    </row>
    <row r="84" spans="1:1">
      <c r="A84" s="81" t="s">
        <v>598</v>
      </c>
    </row>
    <row r="85" spans="1:1">
      <c r="A85" s="81" t="s">
        <v>599</v>
      </c>
    </row>
    <row r="86" spans="1:1">
      <c r="A86" s="81" t="s">
        <v>600</v>
      </c>
    </row>
    <row r="87" spans="1:1">
      <c r="A87" s="81" t="s">
        <v>601</v>
      </c>
    </row>
    <row r="88" spans="1:1">
      <c r="A88" s="81" t="s">
        <v>602</v>
      </c>
    </row>
    <row r="89" spans="1:1">
      <c r="A89" s="81" t="s">
        <v>603</v>
      </c>
    </row>
    <row r="90" spans="1:1">
      <c r="A90" s="81" t="s">
        <v>604</v>
      </c>
    </row>
    <row r="91" spans="1:1">
      <c r="A91" s="81" t="s">
        <v>605</v>
      </c>
    </row>
    <row r="92" spans="1:1">
      <c r="A92" s="81" t="s">
        <v>606</v>
      </c>
    </row>
    <row r="93" spans="1:1">
      <c r="A93" s="81" t="s">
        <v>607</v>
      </c>
    </row>
    <row r="94" spans="1:1">
      <c r="A94" s="81" t="s">
        <v>608</v>
      </c>
    </row>
    <row r="95" spans="1:1">
      <c r="A95" s="81" t="s">
        <v>609</v>
      </c>
    </row>
    <row r="96" spans="1:1">
      <c r="A96" s="81" t="s">
        <v>610</v>
      </c>
    </row>
    <row r="97" spans="1:1">
      <c r="A97" s="81" t="s">
        <v>611</v>
      </c>
    </row>
    <row r="98" spans="1:1">
      <c r="A98" s="81" t="s">
        <v>612</v>
      </c>
    </row>
    <row r="99" spans="1:1">
      <c r="A99" s="81" t="s">
        <v>613</v>
      </c>
    </row>
    <row r="100" spans="1:1">
      <c r="A100" s="81" t="s">
        <v>614</v>
      </c>
    </row>
    <row r="101" spans="1:1">
      <c r="A101" s="81" t="s">
        <v>615</v>
      </c>
    </row>
    <row r="102" spans="1:1">
      <c r="A102" s="81" t="s">
        <v>616</v>
      </c>
    </row>
    <row r="103" spans="1:1">
      <c r="A103" s="81" t="s">
        <v>617</v>
      </c>
    </row>
    <row r="104" spans="1:1">
      <c r="A104" s="81" t="s">
        <v>618</v>
      </c>
    </row>
    <row r="105" spans="1:1">
      <c r="A105" s="81" t="s">
        <v>619</v>
      </c>
    </row>
    <row r="106" spans="1:1">
      <c r="A106" s="81" t="s">
        <v>620</v>
      </c>
    </row>
    <row r="107" spans="1:1">
      <c r="A107" s="81" t="s">
        <v>621</v>
      </c>
    </row>
    <row r="108" spans="1:1">
      <c r="A108" s="81" t="s">
        <v>622</v>
      </c>
    </row>
    <row r="109" spans="1:1">
      <c r="A109" s="81" t="s">
        <v>623</v>
      </c>
    </row>
    <row r="110" spans="1:1">
      <c r="A110" s="81" t="s">
        <v>624</v>
      </c>
    </row>
    <row r="111" spans="1:1">
      <c r="A111" s="81" t="s">
        <v>625</v>
      </c>
    </row>
    <row r="112" spans="1:1">
      <c r="A112" s="81" t="s">
        <v>626</v>
      </c>
    </row>
    <row r="113" spans="1:1">
      <c r="A113" s="81" t="s">
        <v>627</v>
      </c>
    </row>
    <row r="114" spans="1:1">
      <c r="A114" s="81" t="s">
        <v>628</v>
      </c>
    </row>
    <row r="115" spans="1:1">
      <c r="A115" s="81" t="s">
        <v>629</v>
      </c>
    </row>
    <row r="116" spans="1:1">
      <c r="A116" s="81" t="s">
        <v>630</v>
      </c>
    </row>
    <row r="117" spans="1:1">
      <c r="A117" s="81" t="s">
        <v>631</v>
      </c>
    </row>
    <row r="118" spans="1:1">
      <c r="A118" s="81" t="s">
        <v>632</v>
      </c>
    </row>
    <row r="119" spans="1:1">
      <c r="A119" s="81" t="s">
        <v>633</v>
      </c>
    </row>
    <row r="120" spans="1:1">
      <c r="A120" s="81" t="s">
        <v>634</v>
      </c>
    </row>
    <row r="121" spans="1:1">
      <c r="A121" s="81" t="s">
        <v>635</v>
      </c>
    </row>
    <row r="122" spans="1:1">
      <c r="A122" s="81" t="s">
        <v>636</v>
      </c>
    </row>
    <row r="123" spans="1:1">
      <c r="A123" s="81" t="s">
        <v>637</v>
      </c>
    </row>
    <row r="124" spans="1:1">
      <c r="A124" s="81" t="s">
        <v>638</v>
      </c>
    </row>
    <row r="125" spans="1:1">
      <c r="A125" s="81" t="s">
        <v>639</v>
      </c>
    </row>
    <row r="126" spans="1:1">
      <c r="A126" s="81" t="s">
        <v>640</v>
      </c>
    </row>
    <row r="127" spans="1:1">
      <c r="A127" s="81" t="s">
        <v>641</v>
      </c>
    </row>
    <row r="128" spans="1:1">
      <c r="A128" s="81" t="s">
        <v>642</v>
      </c>
    </row>
    <row r="129" spans="1:1">
      <c r="A129" s="81" t="s">
        <v>643</v>
      </c>
    </row>
    <row r="130" spans="1:1">
      <c r="A130" s="81" t="s">
        <v>644</v>
      </c>
    </row>
    <row r="131" spans="1:1">
      <c r="A131" s="81" t="s">
        <v>645</v>
      </c>
    </row>
    <row r="132" spans="1:1">
      <c r="A132" s="81" t="s">
        <v>646</v>
      </c>
    </row>
    <row r="133" spans="1:1">
      <c r="A133" s="81" t="s">
        <v>647</v>
      </c>
    </row>
    <row r="134" spans="1:1">
      <c r="A134" s="81" t="s">
        <v>648</v>
      </c>
    </row>
    <row r="135" spans="1:1">
      <c r="A135" s="81" t="s">
        <v>649</v>
      </c>
    </row>
    <row r="136" spans="1:1">
      <c r="A136" s="81" t="s">
        <v>650</v>
      </c>
    </row>
    <row r="137" spans="1:1">
      <c r="A137" s="81" t="s">
        <v>651</v>
      </c>
    </row>
    <row r="138" spans="1:1">
      <c r="A138" s="81" t="s">
        <v>652</v>
      </c>
    </row>
    <row r="139" spans="1:1">
      <c r="A139" s="81" t="s">
        <v>653</v>
      </c>
    </row>
    <row r="140" spans="1:1">
      <c r="A140" s="81" t="s">
        <v>654</v>
      </c>
    </row>
    <row r="141" spans="1:1">
      <c r="A141" s="81" t="s">
        <v>655</v>
      </c>
    </row>
    <row r="142" spans="1:1">
      <c r="A142" s="81" t="s">
        <v>656</v>
      </c>
    </row>
    <row r="143" spans="1:1">
      <c r="A143" s="81" t="s">
        <v>657</v>
      </c>
    </row>
    <row r="144" spans="1:1">
      <c r="A144" s="81" t="s">
        <v>658</v>
      </c>
    </row>
    <row r="145" spans="1:1">
      <c r="A145" s="81" t="s">
        <v>659</v>
      </c>
    </row>
    <row r="146" spans="1:1">
      <c r="A146" s="81" t="s">
        <v>660</v>
      </c>
    </row>
    <row r="147" spans="1:1">
      <c r="A147" s="81" t="s">
        <v>661</v>
      </c>
    </row>
    <row r="148" spans="1:1">
      <c r="A148" s="81" t="s">
        <v>662</v>
      </c>
    </row>
    <row r="149" spans="1:1">
      <c r="A149" s="81" t="s">
        <v>663</v>
      </c>
    </row>
    <row r="150" spans="1:1">
      <c r="A150" s="81" t="s">
        <v>664</v>
      </c>
    </row>
    <row r="151" spans="1:1">
      <c r="A151" s="81" t="s">
        <v>665</v>
      </c>
    </row>
    <row r="152" spans="1:1">
      <c r="A152" s="81" t="s">
        <v>666</v>
      </c>
    </row>
    <row r="153" spans="1:1">
      <c r="A153" s="81" t="s">
        <v>667</v>
      </c>
    </row>
    <row r="154" spans="1:1">
      <c r="A154" s="81" t="s">
        <v>668</v>
      </c>
    </row>
    <row r="155" spans="1:1">
      <c r="A155" s="81" t="s">
        <v>669</v>
      </c>
    </row>
    <row r="156" spans="1:1">
      <c r="A156" s="81" t="s">
        <v>670</v>
      </c>
    </row>
    <row r="157" spans="1:1">
      <c r="A157" s="81" t="s">
        <v>671</v>
      </c>
    </row>
    <row r="158" spans="1:1">
      <c r="A158" s="81" t="s">
        <v>672</v>
      </c>
    </row>
    <row r="159" spans="1:1">
      <c r="A159" s="81" t="s">
        <v>673</v>
      </c>
    </row>
    <row r="160" spans="1:1">
      <c r="A160" s="81" t="s">
        <v>674</v>
      </c>
    </row>
    <row r="161" spans="1:1">
      <c r="A161" s="81" t="s">
        <v>675</v>
      </c>
    </row>
    <row r="162" spans="1:1">
      <c r="A162" s="81" t="s">
        <v>676</v>
      </c>
    </row>
    <row r="163" spans="1:1">
      <c r="A163" s="81" t="s">
        <v>677</v>
      </c>
    </row>
    <row r="164" spans="1:1">
      <c r="A164" s="81" t="s">
        <v>678</v>
      </c>
    </row>
    <row r="165" spans="1:1">
      <c r="A165" s="81" t="s">
        <v>679</v>
      </c>
    </row>
    <row r="166" spans="1:1">
      <c r="A166" s="81" t="s">
        <v>680</v>
      </c>
    </row>
    <row r="167" spans="1:1">
      <c r="A167" s="81" t="s">
        <v>681</v>
      </c>
    </row>
    <row r="168" spans="1:1">
      <c r="A168" s="81" t="s">
        <v>682</v>
      </c>
    </row>
    <row r="169" spans="1:1">
      <c r="A169" s="81" t="s">
        <v>683</v>
      </c>
    </row>
    <row r="170" spans="1:1">
      <c r="A170" s="81" t="s">
        <v>684</v>
      </c>
    </row>
    <row r="171" spans="1:1">
      <c r="A171" s="81" t="s">
        <v>685</v>
      </c>
    </row>
    <row r="172" spans="1:1">
      <c r="A172" s="81" t="s">
        <v>686</v>
      </c>
    </row>
    <row r="173" spans="1:1">
      <c r="A173" s="81" t="s">
        <v>687</v>
      </c>
    </row>
    <row r="174" spans="1:1">
      <c r="A174" s="81" t="s">
        <v>688</v>
      </c>
    </row>
    <row r="175" spans="1:1">
      <c r="A175" s="81" t="s">
        <v>689</v>
      </c>
    </row>
    <row r="176" spans="1:1">
      <c r="A176" s="81" t="s">
        <v>690</v>
      </c>
    </row>
    <row r="177" spans="1:1">
      <c r="A177" s="81" t="s">
        <v>691</v>
      </c>
    </row>
    <row r="178" spans="1:1">
      <c r="A178" s="81" t="s">
        <v>692</v>
      </c>
    </row>
    <row r="179" spans="1:1">
      <c r="A179" s="81" t="s">
        <v>693</v>
      </c>
    </row>
    <row r="180" spans="1:1">
      <c r="A180" s="81" t="s">
        <v>694</v>
      </c>
    </row>
    <row r="181" spans="1:1">
      <c r="A181" s="81" t="s">
        <v>695</v>
      </c>
    </row>
    <row r="182" spans="1:1">
      <c r="A182" s="81" t="s">
        <v>696</v>
      </c>
    </row>
    <row r="183" spans="1:1">
      <c r="A183" s="81" t="s">
        <v>697</v>
      </c>
    </row>
    <row r="184" spans="1:1">
      <c r="A184" s="81" t="s">
        <v>698</v>
      </c>
    </row>
    <row r="185" spans="1:1">
      <c r="A185" s="81" t="s">
        <v>699</v>
      </c>
    </row>
    <row r="186" spans="1:1">
      <c r="A186" s="81" t="s">
        <v>700</v>
      </c>
    </row>
    <row r="187" spans="1:1">
      <c r="A187" s="81" t="s">
        <v>701</v>
      </c>
    </row>
    <row r="188" spans="1:1">
      <c r="A188" s="81" t="s">
        <v>702</v>
      </c>
    </row>
    <row r="189" spans="1:1">
      <c r="A189" s="81" t="s">
        <v>703</v>
      </c>
    </row>
    <row r="190" spans="1:1">
      <c r="A190" s="81" t="s">
        <v>704</v>
      </c>
    </row>
    <row r="191" spans="1:1">
      <c r="A191" s="81" t="s">
        <v>705</v>
      </c>
    </row>
    <row r="192" spans="1:1">
      <c r="A192" s="81" t="s">
        <v>706</v>
      </c>
    </row>
    <row r="193" spans="1:1">
      <c r="A193" s="81" t="s">
        <v>707</v>
      </c>
    </row>
    <row r="194" spans="1:1">
      <c r="A194" s="81" t="s">
        <v>708</v>
      </c>
    </row>
    <row r="195" spans="1:1">
      <c r="A195" s="81" t="s">
        <v>709</v>
      </c>
    </row>
    <row r="196" spans="1:1">
      <c r="A196" s="81" t="s">
        <v>710</v>
      </c>
    </row>
    <row r="197" spans="1:1">
      <c r="A197" s="81" t="s">
        <v>711</v>
      </c>
    </row>
    <row r="198" spans="1:1">
      <c r="A198" s="81" t="s">
        <v>712</v>
      </c>
    </row>
    <row r="199" spans="1:1">
      <c r="A199" s="81" t="s">
        <v>713</v>
      </c>
    </row>
    <row r="200" spans="1:1">
      <c r="A200" s="81" t="s">
        <v>714</v>
      </c>
    </row>
    <row r="201" spans="1:1">
      <c r="A201" s="81" t="s">
        <v>715</v>
      </c>
    </row>
    <row r="202" spans="1:1">
      <c r="A202" s="81" t="s">
        <v>716</v>
      </c>
    </row>
    <row r="203" spans="1:1">
      <c r="A203" s="81" t="s">
        <v>717</v>
      </c>
    </row>
    <row r="204" spans="1:1">
      <c r="A204" s="81" t="s">
        <v>718</v>
      </c>
    </row>
    <row r="205" spans="1:1">
      <c r="A205" s="81" t="s">
        <v>719</v>
      </c>
    </row>
    <row r="206" spans="1:1">
      <c r="A206" s="81" t="s">
        <v>720</v>
      </c>
    </row>
    <row r="207" spans="1:1">
      <c r="A207" s="81" t="s">
        <v>721</v>
      </c>
    </row>
    <row r="208" spans="1:1">
      <c r="A208" s="81" t="s">
        <v>722</v>
      </c>
    </row>
    <row r="209" spans="1:1">
      <c r="A209" s="81" t="s">
        <v>723</v>
      </c>
    </row>
    <row r="210" spans="1:1">
      <c r="A210" s="81" t="s">
        <v>724</v>
      </c>
    </row>
    <row r="211" spans="1:1">
      <c r="A211" s="81" t="s">
        <v>725</v>
      </c>
    </row>
    <row r="212" spans="1:1">
      <c r="A212" s="81" t="s">
        <v>726</v>
      </c>
    </row>
    <row r="213" spans="1:1">
      <c r="A213" s="81" t="s">
        <v>727</v>
      </c>
    </row>
    <row r="214" spans="1:1">
      <c r="A214" s="81" t="s">
        <v>728</v>
      </c>
    </row>
    <row r="215" spans="1:1">
      <c r="A215" s="81" t="s">
        <v>729</v>
      </c>
    </row>
    <row r="216" spans="1:1">
      <c r="A216" s="81" t="s">
        <v>730</v>
      </c>
    </row>
    <row r="217" spans="1:1">
      <c r="A217" s="81" t="s">
        <v>731</v>
      </c>
    </row>
    <row r="218" spans="1:1">
      <c r="A218" s="81" t="s">
        <v>732</v>
      </c>
    </row>
    <row r="219" spans="1:1">
      <c r="A219" s="81" t="s">
        <v>733</v>
      </c>
    </row>
    <row r="220" spans="1:1">
      <c r="A220" s="81" t="s">
        <v>734</v>
      </c>
    </row>
    <row r="221" spans="1:1">
      <c r="A221" s="81" t="s">
        <v>735</v>
      </c>
    </row>
    <row r="222" spans="1:1">
      <c r="A222" s="81" t="s">
        <v>736</v>
      </c>
    </row>
    <row r="223" spans="1:1">
      <c r="A223" s="81" t="s">
        <v>737</v>
      </c>
    </row>
    <row r="224" spans="1:1">
      <c r="A224" s="81" t="s">
        <v>738</v>
      </c>
    </row>
    <row r="225" spans="1:1">
      <c r="A225" s="81" t="s">
        <v>739</v>
      </c>
    </row>
    <row r="226" spans="1:1">
      <c r="A226" s="81" t="s">
        <v>740</v>
      </c>
    </row>
    <row r="227" spans="1:1">
      <c r="A227" s="81" t="s">
        <v>741</v>
      </c>
    </row>
    <row r="228" spans="1:1">
      <c r="A228" s="81" t="s">
        <v>742</v>
      </c>
    </row>
    <row r="229" spans="1:1">
      <c r="A229" s="81" t="s">
        <v>743</v>
      </c>
    </row>
    <row r="230" spans="1:1">
      <c r="A230" s="81" t="s">
        <v>744</v>
      </c>
    </row>
    <row r="231" spans="1:1">
      <c r="A231" s="81" t="s">
        <v>745</v>
      </c>
    </row>
    <row r="232" spans="1:1">
      <c r="A232" s="81" t="s">
        <v>746</v>
      </c>
    </row>
    <row r="233" spans="1:1">
      <c r="A233" s="81" t="s">
        <v>747</v>
      </c>
    </row>
    <row r="234" spans="1:1">
      <c r="A234" s="81" t="s">
        <v>748</v>
      </c>
    </row>
    <row r="235" spans="1:1">
      <c r="A235" s="81" t="s">
        <v>749</v>
      </c>
    </row>
    <row r="236" spans="1:1">
      <c r="A236" s="81" t="s">
        <v>750</v>
      </c>
    </row>
    <row r="238" spans="1:1" ht="18">
      <c r="A238" s="82" t="s">
        <v>751</v>
      </c>
    </row>
    <row r="239" spans="1:1">
      <c r="A239" s="83"/>
    </row>
    <row r="240" spans="1:1">
      <c r="A240" s="81" t="s">
        <v>752</v>
      </c>
    </row>
    <row r="241" spans="1:1">
      <c r="A241" s="81" t="s">
        <v>753</v>
      </c>
    </row>
    <row r="242" spans="1:1">
      <c r="A242" s="81" t="s">
        <v>754</v>
      </c>
    </row>
    <row r="243" spans="1:1">
      <c r="A243" s="81" t="s">
        <v>755</v>
      </c>
    </row>
    <row r="244" spans="1:1">
      <c r="A244" s="81" t="s">
        <v>756</v>
      </c>
    </row>
    <row r="245" spans="1:1">
      <c r="A245" s="81" t="s">
        <v>757</v>
      </c>
    </row>
    <row r="246" spans="1:1">
      <c r="A246" s="81" t="s">
        <v>758</v>
      </c>
    </row>
    <row r="247" spans="1:1">
      <c r="A247" s="81" t="s">
        <v>759</v>
      </c>
    </row>
    <row r="248" spans="1:1">
      <c r="A248" s="81" t="s">
        <v>760</v>
      </c>
    </row>
    <row r="249" spans="1:1">
      <c r="A249" s="81" t="s">
        <v>761</v>
      </c>
    </row>
    <row r="250" spans="1:1">
      <c r="A250" s="81" t="s">
        <v>762</v>
      </c>
    </row>
    <row r="251" spans="1:1">
      <c r="A251" s="81" t="s">
        <v>763</v>
      </c>
    </row>
    <row r="252" spans="1:1">
      <c r="A252" s="81" t="s">
        <v>764</v>
      </c>
    </row>
    <row r="253" spans="1:1">
      <c r="A253" s="81" t="s">
        <v>765</v>
      </c>
    </row>
    <row r="254" spans="1:1">
      <c r="A254" s="81" t="s">
        <v>766</v>
      </c>
    </row>
    <row r="255" spans="1:1">
      <c r="A255" s="81" t="s">
        <v>767</v>
      </c>
    </row>
    <row r="257" spans="1:1" ht="18">
      <c r="A257" s="82" t="s">
        <v>768</v>
      </c>
    </row>
    <row r="258" spans="1:1">
      <c r="A258" s="81" t="s">
        <v>769</v>
      </c>
    </row>
    <row r="259" spans="1:1">
      <c r="A259" s="81" t="s">
        <v>770</v>
      </c>
    </row>
    <row r="260" spans="1:1">
      <c r="A260" s="81" t="s">
        <v>771</v>
      </c>
    </row>
    <row r="261" spans="1:1">
      <c r="A261" s="81" t="s">
        <v>772</v>
      </c>
    </row>
    <row r="262" spans="1:1">
      <c r="A262" s="81" t="s">
        <v>773</v>
      </c>
    </row>
    <row r="263" spans="1:1">
      <c r="A263" s="81" t="s">
        <v>774</v>
      </c>
    </row>
    <row r="265" spans="1:1" ht="18">
      <c r="A265" s="82" t="s">
        <v>775</v>
      </c>
    </row>
    <row r="266" spans="1:1">
      <c r="A266" s="83"/>
    </row>
    <row r="267" spans="1:1">
      <c r="A267" s="81" t="s">
        <v>776</v>
      </c>
    </row>
    <row r="268" spans="1:1">
      <c r="A268" s="81" t="s">
        <v>777</v>
      </c>
    </row>
    <row r="269" spans="1:1">
      <c r="A269" s="81" t="s">
        <v>778</v>
      </c>
    </row>
    <row r="270" spans="1:1">
      <c r="A270" s="81" t="s">
        <v>779</v>
      </c>
    </row>
    <row r="271" spans="1:1">
      <c r="A271" s="81" t="s">
        <v>780</v>
      </c>
    </row>
    <row r="272" spans="1:1">
      <c r="A272" s="81" t="s">
        <v>781</v>
      </c>
    </row>
    <row r="273" spans="1:1">
      <c r="A273" s="81" t="s">
        <v>782</v>
      </c>
    </row>
    <row r="274" spans="1:1">
      <c r="A274" s="81" t="s">
        <v>783</v>
      </c>
    </row>
    <row r="275" spans="1:1">
      <c r="A275" s="81" t="s">
        <v>784</v>
      </c>
    </row>
    <row r="276" spans="1:1">
      <c r="A276" s="81" t="s">
        <v>785</v>
      </c>
    </row>
    <row r="277" spans="1:1">
      <c r="A277" s="81" t="s">
        <v>786</v>
      </c>
    </row>
    <row r="278" spans="1:1">
      <c r="A278" s="81" t="s">
        <v>787</v>
      </c>
    </row>
    <row r="279" spans="1:1">
      <c r="A279" s="81" t="s">
        <v>788</v>
      </c>
    </row>
    <row r="280" spans="1:1">
      <c r="A280" s="81" t="s">
        <v>789</v>
      </c>
    </row>
    <row r="281" spans="1:1">
      <c r="A281" s="81" t="s">
        <v>790</v>
      </c>
    </row>
    <row r="282" spans="1:1">
      <c r="A282" s="81" t="s">
        <v>791</v>
      </c>
    </row>
    <row r="284" spans="1:1" ht="18">
      <c r="A284" s="82" t="s">
        <v>792</v>
      </c>
    </row>
    <row r="285" spans="1:1">
      <c r="A285" s="81" t="s">
        <v>793</v>
      </c>
    </row>
    <row r="286" spans="1:1">
      <c r="A286" s="81" t="s">
        <v>794</v>
      </c>
    </row>
    <row r="288" spans="1:1" ht="18">
      <c r="A288" s="82" t="s">
        <v>795</v>
      </c>
    </row>
    <row r="289" spans="1:1">
      <c r="A289" s="83"/>
    </row>
    <row r="290" spans="1:1">
      <c r="A290" s="81" t="s">
        <v>796</v>
      </c>
    </row>
    <row r="291" spans="1:1">
      <c r="A291" s="81" t="s">
        <v>797</v>
      </c>
    </row>
    <row r="292" spans="1:1">
      <c r="A292" s="81" t="s">
        <v>798</v>
      </c>
    </row>
    <row r="293" spans="1:1">
      <c r="A293" s="81" t="s">
        <v>799</v>
      </c>
    </row>
    <row r="294" spans="1:1">
      <c r="A294" s="81" t="s">
        <v>800</v>
      </c>
    </row>
    <row r="295" spans="1:1">
      <c r="A295" s="81" t="s">
        <v>801</v>
      </c>
    </row>
    <row r="296" spans="1:1">
      <c r="A296" s="81" t="s">
        <v>802</v>
      </c>
    </row>
    <row r="297" spans="1:1">
      <c r="A297" s="81" t="s">
        <v>803</v>
      </c>
    </row>
    <row r="298" spans="1:1">
      <c r="A298" s="81" t="s">
        <v>804</v>
      </c>
    </row>
    <row r="299" spans="1:1">
      <c r="A299" s="81" t="s">
        <v>805</v>
      </c>
    </row>
    <row r="300" spans="1:1">
      <c r="A300" s="81" t="s">
        <v>806</v>
      </c>
    </row>
    <row r="301" spans="1:1">
      <c r="A301" s="81" t="s">
        <v>807</v>
      </c>
    </row>
    <row r="302" spans="1:1">
      <c r="A302" s="81" t="s">
        <v>808</v>
      </c>
    </row>
    <row r="303" spans="1:1">
      <c r="A303" s="81" t="s">
        <v>809</v>
      </c>
    </row>
    <row r="304" spans="1:1">
      <c r="A304" s="81" t="s">
        <v>810</v>
      </c>
    </row>
    <row r="305" spans="1:1">
      <c r="A305" s="81" t="s">
        <v>811</v>
      </c>
    </row>
    <row r="306" spans="1:1">
      <c r="A306" s="81" t="s">
        <v>812</v>
      </c>
    </row>
    <row r="307" spans="1:1">
      <c r="A307" s="81" t="s">
        <v>813</v>
      </c>
    </row>
    <row r="308" spans="1:1">
      <c r="A308" s="81" t="s">
        <v>814</v>
      </c>
    </row>
    <row r="309" spans="1:1">
      <c r="A309" s="81" t="s">
        <v>815</v>
      </c>
    </row>
    <row r="310" spans="1:1">
      <c r="A310" s="81" t="s">
        <v>816</v>
      </c>
    </row>
    <row r="311" spans="1:1">
      <c r="A311" s="81" t="s">
        <v>817</v>
      </c>
    </row>
    <row r="312" spans="1:1">
      <c r="A312" s="81" t="s">
        <v>818</v>
      </c>
    </row>
    <row r="313" spans="1:1">
      <c r="A313" s="81" t="s">
        <v>819</v>
      </c>
    </row>
    <row r="314" spans="1:1">
      <c r="A314" s="81" t="s">
        <v>820</v>
      </c>
    </row>
    <row r="315" spans="1:1">
      <c r="A315" s="81" t="s">
        <v>821</v>
      </c>
    </row>
    <row r="316" spans="1:1">
      <c r="A316" s="81" t="s">
        <v>822</v>
      </c>
    </row>
    <row r="317" spans="1:1">
      <c r="A317" s="81" t="s">
        <v>823</v>
      </c>
    </row>
    <row r="318" spans="1:1">
      <c r="A318" s="81" t="s">
        <v>824</v>
      </c>
    </row>
    <row r="319" spans="1:1">
      <c r="A319" s="81" t="s">
        <v>825</v>
      </c>
    </row>
    <row r="320" spans="1:1">
      <c r="A320" s="81" t="s">
        <v>826</v>
      </c>
    </row>
    <row r="321" spans="1:1">
      <c r="A321" s="81" t="s">
        <v>827</v>
      </c>
    </row>
    <row r="322" spans="1:1">
      <c r="A322" s="81" t="s">
        <v>828</v>
      </c>
    </row>
    <row r="323" spans="1:1">
      <c r="A323" s="81" t="s">
        <v>829</v>
      </c>
    </row>
    <row r="324" spans="1:1">
      <c r="A324" s="81" t="s">
        <v>830</v>
      </c>
    </row>
    <row r="325" spans="1:1">
      <c r="A325" s="81" t="s">
        <v>831</v>
      </c>
    </row>
    <row r="326" spans="1:1">
      <c r="A326" s="81" t="s">
        <v>832</v>
      </c>
    </row>
    <row r="327" spans="1:1">
      <c r="A327" s="81" t="s">
        <v>833</v>
      </c>
    </row>
    <row r="328" spans="1:1">
      <c r="A328" s="81" t="s">
        <v>834</v>
      </c>
    </row>
    <row r="329" spans="1:1">
      <c r="A329" s="81" t="s">
        <v>835</v>
      </c>
    </row>
    <row r="330" spans="1:1">
      <c r="A330" s="81" t="s">
        <v>836</v>
      </c>
    </row>
    <row r="331" spans="1:1">
      <c r="A331" s="81" t="s">
        <v>837</v>
      </c>
    </row>
    <row r="332" spans="1:1">
      <c r="A332" s="81" t="s">
        <v>838</v>
      </c>
    </row>
    <row r="333" spans="1:1">
      <c r="A333" s="81" t="s">
        <v>839</v>
      </c>
    </row>
    <row r="334" spans="1:1">
      <c r="A334" s="81" t="s">
        <v>840</v>
      </c>
    </row>
    <row r="335" spans="1:1">
      <c r="A335" s="81" t="s">
        <v>841</v>
      </c>
    </row>
    <row r="336" spans="1:1">
      <c r="A336" s="81" t="s">
        <v>842</v>
      </c>
    </row>
    <row r="337" spans="1:1">
      <c r="A337" s="81" t="s">
        <v>843</v>
      </c>
    </row>
    <row r="338" spans="1:1">
      <c r="A338" s="81" t="s">
        <v>844</v>
      </c>
    </row>
    <row r="339" spans="1:1">
      <c r="A339" s="81" t="s">
        <v>845</v>
      </c>
    </row>
    <row r="340" spans="1:1">
      <c r="A340" s="81" t="s">
        <v>846</v>
      </c>
    </row>
    <row r="341" spans="1:1">
      <c r="A341" s="81" t="s">
        <v>847</v>
      </c>
    </row>
    <row r="342" spans="1:1">
      <c r="A342" s="81" t="s">
        <v>848</v>
      </c>
    </row>
    <row r="343" spans="1:1">
      <c r="A343" s="81" t="s">
        <v>849</v>
      </c>
    </row>
    <row r="344" spans="1:1">
      <c r="A344" s="81" t="s">
        <v>850</v>
      </c>
    </row>
    <row r="345" spans="1:1">
      <c r="A345" s="81" t="s">
        <v>851</v>
      </c>
    </row>
    <row r="346" spans="1:1">
      <c r="A346" s="81" t="s">
        <v>852</v>
      </c>
    </row>
    <row r="347" spans="1:1">
      <c r="A347" s="81" t="s">
        <v>853</v>
      </c>
    </row>
    <row r="348" spans="1:1">
      <c r="A348" s="81" t="s">
        <v>854</v>
      </c>
    </row>
    <row r="349" spans="1:1">
      <c r="A349" s="81" t="s">
        <v>855</v>
      </c>
    </row>
    <row r="350" spans="1:1">
      <c r="A350" s="81" t="s">
        <v>856</v>
      </c>
    </row>
    <row r="351" spans="1:1">
      <c r="A351" s="81" t="s">
        <v>857</v>
      </c>
    </row>
    <row r="352" spans="1:1">
      <c r="A352" s="81" t="s">
        <v>858</v>
      </c>
    </row>
    <row r="353" spans="1:1">
      <c r="A353" s="81" t="s">
        <v>859</v>
      </c>
    </row>
    <row r="354" spans="1:1">
      <c r="A354" s="81" t="s">
        <v>860</v>
      </c>
    </row>
    <row r="355" spans="1:1">
      <c r="A355" s="81" t="s">
        <v>861</v>
      </c>
    </row>
    <row r="356" spans="1:1">
      <c r="A356" s="81" t="s">
        <v>862</v>
      </c>
    </row>
    <row r="357" spans="1:1">
      <c r="A357" s="81" t="s">
        <v>863</v>
      </c>
    </row>
    <row r="358" spans="1:1">
      <c r="A358" s="81" t="s">
        <v>864</v>
      </c>
    </row>
    <row r="359" spans="1:1">
      <c r="A359" s="81" t="s">
        <v>865</v>
      </c>
    </row>
    <row r="360" spans="1:1">
      <c r="A360" s="81" t="s">
        <v>866</v>
      </c>
    </row>
    <row r="361" spans="1:1">
      <c r="A361" s="81" t="s">
        <v>867</v>
      </c>
    </row>
    <row r="362" spans="1:1">
      <c r="A362" s="81" t="s">
        <v>868</v>
      </c>
    </row>
    <row r="363" spans="1:1">
      <c r="A363" s="81" t="s">
        <v>869</v>
      </c>
    </row>
    <row r="364" spans="1:1">
      <c r="A364" s="81" t="s">
        <v>870</v>
      </c>
    </row>
    <row r="365" spans="1:1">
      <c r="A365" s="81" t="s">
        <v>871</v>
      </c>
    </row>
    <row r="366" spans="1:1">
      <c r="A366" s="81" t="s">
        <v>872</v>
      </c>
    </row>
    <row r="367" spans="1:1">
      <c r="A367" s="81" t="s">
        <v>873</v>
      </c>
    </row>
    <row r="368" spans="1:1">
      <c r="A368" s="81" t="s">
        <v>874</v>
      </c>
    </row>
    <row r="369" spans="1:1">
      <c r="A369" s="81" t="s">
        <v>875</v>
      </c>
    </row>
    <row r="370" spans="1:1">
      <c r="A370" s="81" t="s">
        <v>876</v>
      </c>
    </row>
    <row r="371" spans="1:1">
      <c r="A371" s="81" t="s">
        <v>877</v>
      </c>
    </row>
    <row r="372" spans="1:1">
      <c r="A372" s="81" t="s">
        <v>878</v>
      </c>
    </row>
    <row r="373" spans="1:1">
      <c r="A373" s="81" t="s">
        <v>879</v>
      </c>
    </row>
    <row r="374" spans="1:1">
      <c r="A374" s="81" t="s">
        <v>880</v>
      </c>
    </row>
    <row r="375" spans="1:1">
      <c r="A375" s="81" t="s">
        <v>881</v>
      </c>
    </row>
    <row r="376" spans="1:1">
      <c r="A376" s="81" t="s">
        <v>882</v>
      </c>
    </row>
    <row r="377" spans="1:1">
      <c r="A377" s="81" t="s">
        <v>883</v>
      </c>
    </row>
    <row r="378" spans="1:1">
      <c r="A378" s="81" t="s">
        <v>884</v>
      </c>
    </row>
    <row r="379" spans="1:1">
      <c r="A379" s="81" t="s">
        <v>885</v>
      </c>
    </row>
    <row r="380" spans="1:1">
      <c r="A380" s="81" t="s">
        <v>886</v>
      </c>
    </row>
    <row r="381" spans="1:1">
      <c r="A381" s="81" t="s">
        <v>887</v>
      </c>
    </row>
    <row r="382" spans="1:1">
      <c r="A382" s="81" t="s">
        <v>888</v>
      </c>
    </row>
    <row r="383" spans="1:1">
      <c r="A383" s="81" t="s">
        <v>889</v>
      </c>
    </row>
    <row r="384" spans="1:1">
      <c r="A384" s="81" t="s">
        <v>890</v>
      </c>
    </row>
    <row r="385" spans="1:1">
      <c r="A385" s="81" t="s">
        <v>891</v>
      </c>
    </row>
    <row r="386" spans="1:1">
      <c r="A386" s="81" t="s">
        <v>892</v>
      </c>
    </row>
    <row r="387" spans="1:1">
      <c r="A387" s="81" t="s">
        <v>893</v>
      </c>
    </row>
    <row r="388" spans="1:1">
      <c r="A388" s="81" t="s">
        <v>894</v>
      </c>
    </row>
    <row r="389" spans="1:1">
      <c r="A389" s="81" t="s">
        <v>895</v>
      </c>
    </row>
    <row r="390" spans="1:1">
      <c r="A390" s="81" t="s">
        <v>896</v>
      </c>
    </row>
    <row r="391" spans="1:1">
      <c r="A391" s="81" t="s">
        <v>897</v>
      </c>
    </row>
    <row r="392" spans="1:1">
      <c r="A392" s="81" t="s">
        <v>898</v>
      </c>
    </row>
    <row r="393" spans="1:1">
      <c r="A393" s="81" t="s">
        <v>899</v>
      </c>
    </row>
    <row r="394" spans="1:1">
      <c r="A394" s="81" t="s">
        <v>900</v>
      </c>
    </row>
    <row r="395" spans="1:1">
      <c r="A395" s="81" t="s">
        <v>901</v>
      </c>
    </row>
    <row r="396" spans="1:1">
      <c r="A396" s="81" t="s">
        <v>902</v>
      </c>
    </row>
    <row r="397" spans="1:1">
      <c r="A397" s="81" t="s">
        <v>903</v>
      </c>
    </row>
    <row r="398" spans="1:1">
      <c r="A398" s="81" t="s">
        <v>904</v>
      </c>
    </row>
    <row r="399" spans="1:1">
      <c r="A399" s="81" t="s">
        <v>905</v>
      </c>
    </row>
    <row r="400" spans="1:1">
      <c r="A400" s="81" t="s">
        <v>906</v>
      </c>
    </row>
    <row r="401" spans="1:1">
      <c r="A401" s="81" t="s">
        <v>907</v>
      </c>
    </row>
    <row r="402" spans="1:1">
      <c r="A402" s="81" t="s">
        <v>908</v>
      </c>
    </row>
    <row r="403" spans="1:1">
      <c r="A403" s="81" t="s">
        <v>909</v>
      </c>
    </row>
    <row r="404" spans="1:1">
      <c r="A404" s="81" t="s">
        <v>910</v>
      </c>
    </row>
    <row r="405" spans="1:1">
      <c r="A405" s="81" t="s">
        <v>911</v>
      </c>
    </row>
    <row r="406" spans="1:1">
      <c r="A406" s="81" t="s">
        <v>912</v>
      </c>
    </row>
    <row r="407" spans="1:1">
      <c r="A407" s="81" t="s">
        <v>913</v>
      </c>
    </row>
    <row r="408" spans="1:1">
      <c r="A408" s="81" t="s">
        <v>914</v>
      </c>
    </row>
    <row r="409" spans="1:1">
      <c r="A409" s="81" t="s">
        <v>915</v>
      </c>
    </row>
    <row r="410" spans="1:1">
      <c r="A410" s="81" t="s">
        <v>916</v>
      </c>
    </row>
    <row r="411" spans="1:1">
      <c r="A411" s="81" t="s">
        <v>917</v>
      </c>
    </row>
    <row r="412" spans="1:1">
      <c r="A412" s="81" t="s">
        <v>918</v>
      </c>
    </row>
    <row r="413" spans="1:1">
      <c r="A413" s="81" t="s">
        <v>919</v>
      </c>
    </row>
    <row r="414" spans="1:1">
      <c r="A414" s="81" t="s">
        <v>920</v>
      </c>
    </row>
    <row r="415" spans="1:1">
      <c r="A415" s="81" t="s">
        <v>921</v>
      </c>
    </row>
    <row r="416" spans="1:1">
      <c r="A416" s="81" t="s">
        <v>922</v>
      </c>
    </row>
    <row r="417" spans="1:1">
      <c r="A417" s="81" t="s">
        <v>923</v>
      </c>
    </row>
    <row r="418" spans="1:1">
      <c r="A418" s="81" t="s">
        <v>924</v>
      </c>
    </row>
    <row r="419" spans="1:1">
      <c r="A419" s="81" t="s">
        <v>925</v>
      </c>
    </row>
    <row r="420" spans="1:1">
      <c r="A420" s="81" t="s">
        <v>926</v>
      </c>
    </row>
    <row r="421" spans="1:1">
      <c r="A421" s="81" t="s">
        <v>927</v>
      </c>
    </row>
    <row r="422" spans="1:1">
      <c r="A422" s="81" t="s">
        <v>928</v>
      </c>
    </row>
    <row r="423" spans="1:1">
      <c r="A423" s="81" t="s">
        <v>929</v>
      </c>
    </row>
    <row r="424" spans="1:1">
      <c r="A424" s="81" t="s">
        <v>930</v>
      </c>
    </row>
    <row r="425" spans="1:1">
      <c r="A425" s="81" t="s">
        <v>931</v>
      </c>
    </row>
    <row r="426" spans="1:1">
      <c r="A426" s="81" t="s">
        <v>932</v>
      </c>
    </row>
    <row r="427" spans="1:1">
      <c r="A427" s="81" t="s">
        <v>933</v>
      </c>
    </row>
    <row r="428" spans="1:1">
      <c r="A428" s="81" t="s">
        <v>934</v>
      </c>
    </row>
    <row r="429" spans="1:1">
      <c r="A429" s="81" t="s">
        <v>935</v>
      </c>
    </row>
    <row r="430" spans="1:1">
      <c r="A430" s="81" t="s">
        <v>936</v>
      </c>
    </row>
    <row r="431" spans="1:1">
      <c r="A431" s="81" t="s">
        <v>937</v>
      </c>
    </row>
    <row r="432" spans="1:1">
      <c r="A432" s="81" t="s">
        <v>938</v>
      </c>
    </row>
    <row r="433" spans="1:1">
      <c r="A433" s="81" t="s">
        <v>939</v>
      </c>
    </row>
    <row r="434" spans="1:1">
      <c r="A434" s="81" t="s">
        <v>940</v>
      </c>
    </row>
    <row r="435" spans="1:1">
      <c r="A435" s="81" t="s">
        <v>941</v>
      </c>
    </row>
    <row r="436" spans="1:1">
      <c r="A436" s="81" t="s">
        <v>942</v>
      </c>
    </row>
    <row r="437" spans="1:1">
      <c r="A437" s="81" t="s">
        <v>943</v>
      </c>
    </row>
    <row r="438" spans="1:1">
      <c r="A438" s="81" t="s">
        <v>944</v>
      </c>
    </row>
    <row r="439" spans="1:1">
      <c r="A439" s="81" t="s">
        <v>945</v>
      </c>
    </row>
    <row r="440" spans="1:1">
      <c r="A440" s="81" t="s">
        <v>946</v>
      </c>
    </row>
    <row r="441" spans="1:1">
      <c r="A441" s="81" t="s">
        <v>947</v>
      </c>
    </row>
    <row r="442" spans="1:1">
      <c r="A442" s="81" t="s">
        <v>948</v>
      </c>
    </row>
    <row r="443" spans="1:1">
      <c r="A443" s="81" t="s">
        <v>949</v>
      </c>
    </row>
    <row r="444" spans="1:1">
      <c r="A444" s="81" t="s">
        <v>950</v>
      </c>
    </row>
    <row r="445" spans="1:1">
      <c r="A445" s="81" t="s">
        <v>951</v>
      </c>
    </row>
    <row r="446" spans="1:1">
      <c r="A446" s="81" t="s">
        <v>952</v>
      </c>
    </row>
    <row r="447" spans="1:1">
      <c r="A447" s="81" t="s">
        <v>953</v>
      </c>
    </row>
    <row r="448" spans="1:1">
      <c r="A448" s="81" t="s">
        <v>954</v>
      </c>
    </row>
    <row r="449" spans="1:1">
      <c r="A449" s="81" t="s">
        <v>955</v>
      </c>
    </row>
    <row r="450" spans="1:1">
      <c r="A450" s="81" t="s">
        <v>956</v>
      </c>
    </row>
    <row r="451" spans="1:1">
      <c r="A451" s="81" t="s">
        <v>957</v>
      </c>
    </row>
    <row r="452" spans="1:1">
      <c r="A452" s="81" t="s">
        <v>958</v>
      </c>
    </row>
    <row r="453" spans="1:1">
      <c r="A453" s="81" t="s">
        <v>959</v>
      </c>
    </row>
    <row r="454" spans="1:1">
      <c r="A454" s="81" t="s">
        <v>960</v>
      </c>
    </row>
    <row r="455" spans="1:1">
      <c r="A455" s="81" t="s">
        <v>961</v>
      </c>
    </row>
    <row r="456" spans="1:1">
      <c r="A456" s="81" t="s">
        <v>962</v>
      </c>
    </row>
    <row r="457" spans="1:1">
      <c r="A457" s="81" t="s">
        <v>963</v>
      </c>
    </row>
    <row r="458" spans="1:1">
      <c r="A458" s="81" t="s">
        <v>964</v>
      </c>
    </row>
    <row r="459" spans="1:1">
      <c r="A459" s="81" t="s">
        <v>965</v>
      </c>
    </row>
    <row r="460" spans="1:1">
      <c r="A460" s="81" t="s">
        <v>966</v>
      </c>
    </row>
    <row r="461" spans="1:1">
      <c r="A461" s="81" t="s">
        <v>967</v>
      </c>
    </row>
    <row r="462" spans="1:1">
      <c r="A462" s="81" t="s">
        <v>968</v>
      </c>
    </row>
    <row r="463" spans="1:1">
      <c r="A463" s="81" t="s">
        <v>969</v>
      </c>
    </row>
    <row r="464" spans="1:1">
      <c r="A464" s="81" t="s">
        <v>970</v>
      </c>
    </row>
    <row r="465" spans="1:1">
      <c r="A465" s="81" t="s">
        <v>971</v>
      </c>
    </row>
    <row r="466" spans="1:1">
      <c r="A466" s="81" t="s">
        <v>972</v>
      </c>
    </row>
    <row r="467" spans="1:1">
      <c r="A467" s="81" t="s">
        <v>973</v>
      </c>
    </row>
    <row r="468" spans="1:1">
      <c r="A468" s="81" t="s">
        <v>974</v>
      </c>
    </row>
    <row r="469" spans="1:1">
      <c r="A469" s="81" t="s">
        <v>975</v>
      </c>
    </row>
    <row r="470" spans="1:1">
      <c r="A470" s="81" t="s">
        <v>976</v>
      </c>
    </row>
    <row r="471" spans="1:1">
      <c r="A471" s="81" t="s">
        <v>977</v>
      </c>
    </row>
    <row r="472" spans="1:1">
      <c r="A472" s="81" t="s">
        <v>978</v>
      </c>
    </row>
    <row r="473" spans="1:1">
      <c r="A473" s="81" t="s">
        <v>979</v>
      </c>
    </row>
    <row r="474" spans="1:1">
      <c r="A474" s="81" t="s">
        <v>980</v>
      </c>
    </row>
    <row r="475" spans="1:1">
      <c r="A475" s="81" t="s">
        <v>981</v>
      </c>
    </row>
    <row r="476" spans="1:1">
      <c r="A476" s="81" t="s">
        <v>982</v>
      </c>
    </row>
    <row r="477" spans="1:1">
      <c r="A477" s="81" t="s">
        <v>983</v>
      </c>
    </row>
    <row r="478" spans="1:1">
      <c r="A478" s="81" t="s">
        <v>984</v>
      </c>
    </row>
    <row r="479" spans="1:1">
      <c r="A479" s="81" t="s">
        <v>985</v>
      </c>
    </row>
    <row r="480" spans="1:1">
      <c r="A480" s="81" t="s">
        <v>986</v>
      </c>
    </row>
    <row r="481" spans="1:1">
      <c r="A481" s="81" t="s">
        <v>987</v>
      </c>
    </row>
    <row r="482" spans="1:1">
      <c r="A482" s="81" t="s">
        <v>988</v>
      </c>
    </row>
    <row r="483" spans="1:1">
      <c r="A483" s="81" t="s">
        <v>989</v>
      </c>
    </row>
    <row r="484" spans="1:1">
      <c r="A484" s="81" t="s">
        <v>990</v>
      </c>
    </row>
    <row r="485" spans="1:1">
      <c r="A485" s="81" t="s">
        <v>991</v>
      </c>
    </row>
    <row r="486" spans="1:1">
      <c r="A486" s="81" t="s">
        <v>992</v>
      </c>
    </row>
    <row r="487" spans="1:1">
      <c r="A487" s="81" t="s">
        <v>993</v>
      </c>
    </row>
    <row r="488" spans="1:1">
      <c r="A488" s="81" t="s">
        <v>994</v>
      </c>
    </row>
    <row r="489" spans="1:1">
      <c r="A489" s="81" t="s">
        <v>995</v>
      </c>
    </row>
    <row r="490" spans="1:1">
      <c r="A490" s="81" t="s">
        <v>996</v>
      </c>
    </row>
    <row r="491" spans="1:1">
      <c r="A491" s="81" t="s">
        <v>997</v>
      </c>
    </row>
    <row r="492" spans="1:1">
      <c r="A492" s="81" t="s">
        <v>998</v>
      </c>
    </row>
    <row r="493" spans="1:1">
      <c r="A493" s="81" t="s">
        <v>999</v>
      </c>
    </row>
    <row r="494" spans="1:1">
      <c r="A494" s="81" t="s">
        <v>1000</v>
      </c>
    </row>
    <row r="495" spans="1:1">
      <c r="A495" s="81" t="s">
        <v>1001</v>
      </c>
    </row>
    <row r="496" spans="1:1">
      <c r="A496" s="81" t="s">
        <v>1002</v>
      </c>
    </row>
    <row r="497" spans="1:1">
      <c r="A497" s="81" t="s">
        <v>1003</v>
      </c>
    </row>
    <row r="498" spans="1:1">
      <c r="A498" s="81" t="s">
        <v>1004</v>
      </c>
    </row>
    <row r="499" spans="1:1">
      <c r="A499" s="81" t="s">
        <v>1005</v>
      </c>
    </row>
    <row r="500" spans="1:1">
      <c r="A500" s="81" t="s">
        <v>1006</v>
      </c>
    </row>
    <row r="501" spans="1:1">
      <c r="A501" s="81" t="s">
        <v>1007</v>
      </c>
    </row>
    <row r="502" spans="1:1">
      <c r="A502" s="81" t="s">
        <v>1008</v>
      </c>
    </row>
    <row r="503" spans="1:1">
      <c r="A503" s="81" t="s">
        <v>1009</v>
      </c>
    </row>
    <row r="504" spans="1:1">
      <c r="A504" s="81" t="s">
        <v>1010</v>
      </c>
    </row>
    <row r="505" spans="1:1">
      <c r="A505" s="81" t="s">
        <v>1011</v>
      </c>
    </row>
    <row r="506" spans="1:1">
      <c r="A506" s="81" t="s">
        <v>1012</v>
      </c>
    </row>
    <row r="507" spans="1:1">
      <c r="A507" s="81" t="s">
        <v>1013</v>
      </c>
    </row>
    <row r="508" spans="1:1">
      <c r="A508" s="81" t="s">
        <v>1014</v>
      </c>
    </row>
    <row r="509" spans="1:1">
      <c r="A509" s="81" t="s">
        <v>1015</v>
      </c>
    </row>
    <row r="510" spans="1:1">
      <c r="A510" s="81" t="s">
        <v>1016</v>
      </c>
    </row>
    <row r="511" spans="1:1">
      <c r="A511" s="81" t="s">
        <v>1017</v>
      </c>
    </row>
    <row r="512" spans="1:1">
      <c r="A512" s="81" t="s">
        <v>1018</v>
      </c>
    </row>
    <row r="513" spans="1:1">
      <c r="A513" s="81" t="s">
        <v>1019</v>
      </c>
    </row>
    <row r="514" spans="1:1">
      <c r="A514" s="81" t="s">
        <v>1020</v>
      </c>
    </row>
    <row r="515" spans="1:1">
      <c r="A515" s="81" t="s">
        <v>1021</v>
      </c>
    </row>
    <row r="516" spans="1:1">
      <c r="A516" s="81" t="s">
        <v>1022</v>
      </c>
    </row>
    <row r="517" spans="1:1">
      <c r="A517" s="81" t="s">
        <v>1023</v>
      </c>
    </row>
    <row r="518" spans="1:1">
      <c r="A518" s="81" t="s">
        <v>1024</v>
      </c>
    </row>
    <row r="519" spans="1:1">
      <c r="A519" s="81" t="s">
        <v>1025</v>
      </c>
    </row>
    <row r="520" spans="1:1">
      <c r="A520" s="81" t="s">
        <v>1026</v>
      </c>
    </row>
    <row r="521" spans="1:1">
      <c r="A521" s="81" t="s">
        <v>1027</v>
      </c>
    </row>
    <row r="522" spans="1:1">
      <c r="A522" s="81" t="s">
        <v>1028</v>
      </c>
    </row>
    <row r="523" spans="1:1">
      <c r="A523" s="81" t="s">
        <v>1029</v>
      </c>
    </row>
    <row r="524" spans="1:1">
      <c r="A524" s="81" t="s">
        <v>1030</v>
      </c>
    </row>
    <row r="525" spans="1:1">
      <c r="A525" s="81" t="s">
        <v>1031</v>
      </c>
    </row>
    <row r="526" spans="1:1">
      <c r="A526" s="81" t="s">
        <v>1032</v>
      </c>
    </row>
    <row r="527" spans="1:1">
      <c r="A527" s="81" t="s">
        <v>1033</v>
      </c>
    </row>
    <row r="528" spans="1:1">
      <c r="A528" s="81" t="s">
        <v>1034</v>
      </c>
    </row>
    <row r="529" spans="1:1">
      <c r="A529" s="81" t="s">
        <v>1035</v>
      </c>
    </row>
    <row r="530" spans="1:1">
      <c r="A530" s="81" t="s">
        <v>1036</v>
      </c>
    </row>
    <row r="531" spans="1:1">
      <c r="A531" s="81" t="s">
        <v>1037</v>
      </c>
    </row>
    <row r="532" spans="1:1">
      <c r="A532" s="81" t="s">
        <v>1038</v>
      </c>
    </row>
    <row r="533" spans="1:1">
      <c r="A533" s="81" t="s">
        <v>1039</v>
      </c>
    </row>
    <row r="534" spans="1:1">
      <c r="A534" s="81" t="s">
        <v>1040</v>
      </c>
    </row>
    <row r="535" spans="1:1">
      <c r="A535" s="81" t="s">
        <v>1041</v>
      </c>
    </row>
    <row r="536" spans="1:1">
      <c r="A536" s="81" t="s">
        <v>1042</v>
      </c>
    </row>
    <row r="537" spans="1:1">
      <c r="A537" s="81" t="s">
        <v>1043</v>
      </c>
    </row>
    <row r="538" spans="1:1">
      <c r="A538" s="81" t="s">
        <v>1044</v>
      </c>
    </row>
    <row r="539" spans="1:1">
      <c r="A539" s="81" t="s">
        <v>1045</v>
      </c>
    </row>
    <row r="540" spans="1:1">
      <c r="A540" s="81" t="s">
        <v>1046</v>
      </c>
    </row>
    <row r="541" spans="1:1">
      <c r="A541" s="81" t="s">
        <v>1047</v>
      </c>
    </row>
    <row r="542" spans="1:1">
      <c r="A542" s="81" t="s">
        <v>1048</v>
      </c>
    </row>
    <row r="543" spans="1:1">
      <c r="A543" s="81" t="s">
        <v>1049</v>
      </c>
    </row>
    <row r="544" spans="1:1">
      <c r="A544" s="81" t="s">
        <v>1050</v>
      </c>
    </row>
    <row r="545" spans="1:1">
      <c r="A545" s="81" t="s">
        <v>1051</v>
      </c>
    </row>
    <row r="546" spans="1:1">
      <c r="A546" s="81" t="s">
        <v>1052</v>
      </c>
    </row>
    <row r="547" spans="1:1">
      <c r="A547" s="81" t="s">
        <v>1053</v>
      </c>
    </row>
    <row r="548" spans="1:1">
      <c r="A548" s="81" t="s">
        <v>1054</v>
      </c>
    </row>
    <row r="549" spans="1:1">
      <c r="A549" s="81" t="s">
        <v>1055</v>
      </c>
    </row>
    <row r="550" spans="1:1">
      <c r="A550" s="81" t="s">
        <v>1056</v>
      </c>
    </row>
    <row r="551" spans="1:1">
      <c r="A551" s="81" t="s">
        <v>1057</v>
      </c>
    </row>
    <row r="552" spans="1:1">
      <c r="A552" s="81" t="s">
        <v>1058</v>
      </c>
    </row>
    <row r="553" spans="1:1">
      <c r="A553" s="81" t="s">
        <v>1059</v>
      </c>
    </row>
    <row r="554" spans="1:1">
      <c r="A554" s="81" t="s">
        <v>1060</v>
      </c>
    </row>
    <row r="555" spans="1:1">
      <c r="A555" s="81" t="s">
        <v>1061</v>
      </c>
    </row>
    <row r="556" spans="1:1">
      <c r="A556" s="81" t="s">
        <v>1062</v>
      </c>
    </row>
    <row r="557" spans="1:1">
      <c r="A557" s="81" t="s">
        <v>1063</v>
      </c>
    </row>
    <row r="558" spans="1:1">
      <c r="A558" s="81" t="s">
        <v>1064</v>
      </c>
    </row>
    <row r="559" spans="1:1">
      <c r="A559" s="81" t="s">
        <v>1065</v>
      </c>
    </row>
    <row r="560" spans="1:1">
      <c r="A560" s="81" t="s">
        <v>1066</v>
      </c>
    </row>
    <row r="561" spans="1:1">
      <c r="A561" s="81" t="s">
        <v>1067</v>
      </c>
    </row>
    <row r="562" spans="1:1">
      <c r="A562" s="81" t="s">
        <v>1068</v>
      </c>
    </row>
    <row r="563" spans="1:1">
      <c r="A563" s="81" t="s">
        <v>1069</v>
      </c>
    </row>
    <row r="564" spans="1:1">
      <c r="A564" s="81" t="s">
        <v>1070</v>
      </c>
    </row>
    <row r="565" spans="1:1">
      <c r="A565" s="81" t="s">
        <v>1071</v>
      </c>
    </row>
    <row r="566" spans="1:1">
      <c r="A566" s="81" t="s">
        <v>1072</v>
      </c>
    </row>
    <row r="567" spans="1:1">
      <c r="A567" s="81" t="s">
        <v>1073</v>
      </c>
    </row>
    <row r="568" spans="1:1">
      <c r="A568" s="81" t="s">
        <v>1074</v>
      </c>
    </row>
    <row r="569" spans="1:1">
      <c r="A569" s="81" t="s">
        <v>1075</v>
      </c>
    </row>
    <row r="570" spans="1:1">
      <c r="A570" s="81" t="s">
        <v>1076</v>
      </c>
    </row>
    <row r="571" spans="1:1">
      <c r="A571" s="81" t="s">
        <v>1077</v>
      </c>
    </row>
    <row r="572" spans="1:1">
      <c r="A572" s="81" t="s">
        <v>1078</v>
      </c>
    </row>
    <row r="573" spans="1:1">
      <c r="A573" s="81" t="s">
        <v>1079</v>
      </c>
    </row>
    <row r="574" spans="1:1">
      <c r="A574" s="81" t="s">
        <v>1080</v>
      </c>
    </row>
    <row r="575" spans="1:1">
      <c r="A575" s="81" t="s">
        <v>1081</v>
      </c>
    </row>
    <row r="576" spans="1:1">
      <c r="A576" s="81" t="s">
        <v>1082</v>
      </c>
    </row>
    <row r="577" spans="1:1">
      <c r="A577" s="81" t="s">
        <v>1083</v>
      </c>
    </row>
    <row r="578" spans="1:1">
      <c r="A578" s="81" t="s">
        <v>1084</v>
      </c>
    </row>
    <row r="579" spans="1:1">
      <c r="A579" s="81" t="s">
        <v>1085</v>
      </c>
    </row>
    <row r="580" spans="1:1">
      <c r="A580" s="81" t="s">
        <v>1086</v>
      </c>
    </row>
    <row r="581" spans="1:1">
      <c r="A581" s="81" t="s">
        <v>1087</v>
      </c>
    </row>
    <row r="582" spans="1:1">
      <c r="A582" s="81" t="s">
        <v>1088</v>
      </c>
    </row>
    <row r="583" spans="1:1">
      <c r="A583" s="81" t="s">
        <v>1089</v>
      </c>
    </row>
    <row r="584" spans="1:1">
      <c r="A584" s="81" t="s">
        <v>1090</v>
      </c>
    </row>
    <row r="585" spans="1:1">
      <c r="A585" s="81" t="s">
        <v>1091</v>
      </c>
    </row>
    <row r="586" spans="1:1">
      <c r="A586" s="81" t="s">
        <v>1092</v>
      </c>
    </row>
    <row r="587" spans="1:1">
      <c r="A587" s="81" t="s">
        <v>1093</v>
      </c>
    </row>
    <row r="588" spans="1:1">
      <c r="A588" s="81" t="s">
        <v>1094</v>
      </c>
    </row>
    <row r="589" spans="1:1">
      <c r="A589" s="81" t="s">
        <v>1095</v>
      </c>
    </row>
    <row r="590" spans="1:1">
      <c r="A590" s="81" t="s">
        <v>1096</v>
      </c>
    </row>
    <row r="591" spans="1:1">
      <c r="A591" s="81" t="s">
        <v>1097</v>
      </c>
    </row>
    <row r="592" spans="1:1">
      <c r="A592" s="81" t="s">
        <v>1098</v>
      </c>
    </row>
    <row r="593" spans="1:1">
      <c r="A593" s="81" t="s">
        <v>1099</v>
      </c>
    </row>
    <row r="594" spans="1:1">
      <c r="A594" s="81" t="s">
        <v>1100</v>
      </c>
    </row>
    <row r="595" spans="1:1">
      <c r="A595" s="81" t="s">
        <v>1101</v>
      </c>
    </row>
    <row r="596" spans="1:1">
      <c r="A596" s="81" t="s">
        <v>1102</v>
      </c>
    </row>
    <row r="597" spans="1:1">
      <c r="A597" s="81" t="s">
        <v>1103</v>
      </c>
    </row>
    <row r="598" spans="1:1">
      <c r="A598" s="81" t="s">
        <v>1104</v>
      </c>
    </row>
    <row r="599" spans="1:1">
      <c r="A599" s="81" t="s">
        <v>1105</v>
      </c>
    </row>
    <row r="600" spans="1:1">
      <c r="A600" s="81" t="s">
        <v>1106</v>
      </c>
    </row>
    <row r="601" spans="1:1">
      <c r="A601" s="81" t="s">
        <v>1107</v>
      </c>
    </row>
    <row r="602" spans="1:1">
      <c r="A602" s="81" t="s">
        <v>1108</v>
      </c>
    </row>
    <row r="603" spans="1:1">
      <c r="A603" s="81" t="s">
        <v>1109</v>
      </c>
    </row>
    <row r="604" spans="1:1">
      <c r="A604" s="81" t="s">
        <v>1110</v>
      </c>
    </row>
    <row r="605" spans="1:1">
      <c r="A605" s="81" t="s">
        <v>1111</v>
      </c>
    </row>
    <row r="606" spans="1:1">
      <c r="A606" s="81" t="s">
        <v>1112</v>
      </c>
    </row>
    <row r="607" spans="1:1">
      <c r="A607" s="81" t="s">
        <v>1113</v>
      </c>
    </row>
    <row r="608" spans="1:1">
      <c r="A608" s="81" t="s">
        <v>1114</v>
      </c>
    </row>
    <row r="609" spans="1:1">
      <c r="A609" s="81" t="s">
        <v>1115</v>
      </c>
    </row>
    <row r="610" spans="1:1">
      <c r="A610" s="81" t="s">
        <v>1116</v>
      </c>
    </row>
    <row r="611" spans="1:1">
      <c r="A611" s="81" t="s">
        <v>1117</v>
      </c>
    </row>
    <row r="612" spans="1:1">
      <c r="A612" s="81" t="s">
        <v>1118</v>
      </c>
    </row>
    <row r="613" spans="1:1">
      <c r="A613" s="81" t="s">
        <v>1119</v>
      </c>
    </row>
    <row r="614" spans="1:1">
      <c r="A614" s="81" t="s">
        <v>1120</v>
      </c>
    </row>
    <row r="615" spans="1:1">
      <c r="A615" s="81" t="s">
        <v>1121</v>
      </c>
    </row>
    <row r="616" spans="1:1">
      <c r="A616" s="81" t="s">
        <v>1122</v>
      </c>
    </row>
    <row r="617" spans="1:1">
      <c r="A617" s="81" t="s">
        <v>1123</v>
      </c>
    </row>
    <row r="618" spans="1:1">
      <c r="A618" s="81" t="s">
        <v>1124</v>
      </c>
    </row>
    <row r="619" spans="1:1">
      <c r="A619" s="81" t="s">
        <v>1125</v>
      </c>
    </row>
    <row r="620" spans="1:1">
      <c r="A620" s="81" t="s">
        <v>1126</v>
      </c>
    </row>
    <row r="621" spans="1:1">
      <c r="A621" s="81" t="s">
        <v>1127</v>
      </c>
    </row>
    <row r="622" spans="1:1">
      <c r="A622" s="81" t="s">
        <v>1128</v>
      </c>
    </row>
    <row r="623" spans="1:1">
      <c r="A623" s="81" t="s">
        <v>1129</v>
      </c>
    </row>
    <row r="624" spans="1:1">
      <c r="A624" s="81" t="s">
        <v>1130</v>
      </c>
    </row>
    <row r="625" spans="1:1">
      <c r="A625" s="81" t="s">
        <v>1131</v>
      </c>
    </row>
    <row r="626" spans="1:1">
      <c r="A626" s="81" t="s">
        <v>1132</v>
      </c>
    </row>
    <row r="627" spans="1:1">
      <c r="A627" s="81" t="s">
        <v>1133</v>
      </c>
    </row>
    <row r="628" spans="1:1">
      <c r="A628" s="81" t="s">
        <v>1134</v>
      </c>
    </row>
    <row r="629" spans="1:1">
      <c r="A629" s="81" t="s">
        <v>1135</v>
      </c>
    </row>
    <row r="630" spans="1:1">
      <c r="A630" s="81" t="s">
        <v>1136</v>
      </c>
    </row>
    <row r="631" spans="1:1">
      <c r="A631" s="81" t="s">
        <v>1137</v>
      </c>
    </row>
    <row r="632" spans="1:1">
      <c r="A632" s="81" t="s">
        <v>1138</v>
      </c>
    </row>
    <row r="633" spans="1:1">
      <c r="A633" s="81" t="s">
        <v>1139</v>
      </c>
    </row>
    <row r="634" spans="1:1">
      <c r="A634" s="81" t="s">
        <v>1140</v>
      </c>
    </row>
    <row r="635" spans="1:1">
      <c r="A635" s="81" t="s">
        <v>1141</v>
      </c>
    </row>
    <row r="636" spans="1:1">
      <c r="A636" s="81" t="s">
        <v>1142</v>
      </c>
    </row>
    <row r="637" spans="1:1">
      <c r="A637" s="81" t="s">
        <v>1143</v>
      </c>
    </row>
    <row r="638" spans="1:1">
      <c r="A638" s="81" t="s">
        <v>1144</v>
      </c>
    </row>
    <row r="639" spans="1:1">
      <c r="A639" s="81" t="s">
        <v>1145</v>
      </c>
    </row>
    <row r="640" spans="1:1">
      <c r="A640" s="81" t="s">
        <v>1146</v>
      </c>
    </row>
    <row r="641" spans="1:1">
      <c r="A641" s="81" t="s">
        <v>1147</v>
      </c>
    </row>
    <row r="642" spans="1:1">
      <c r="A642" s="81" t="s">
        <v>1148</v>
      </c>
    </row>
    <row r="643" spans="1:1">
      <c r="A643" s="81" t="s">
        <v>1149</v>
      </c>
    </row>
    <row r="644" spans="1:1">
      <c r="A644" s="81" t="s">
        <v>1150</v>
      </c>
    </row>
    <row r="645" spans="1:1">
      <c r="A645" s="81" t="s">
        <v>1151</v>
      </c>
    </row>
    <row r="646" spans="1:1">
      <c r="A646" s="81" t="s">
        <v>1152</v>
      </c>
    </row>
    <row r="647" spans="1:1">
      <c r="A647" s="81" t="s">
        <v>1153</v>
      </c>
    </row>
    <row r="648" spans="1:1">
      <c r="A648" s="81" t="s">
        <v>1154</v>
      </c>
    </row>
    <row r="649" spans="1:1">
      <c r="A649" s="81" t="s">
        <v>1155</v>
      </c>
    </row>
    <row r="650" spans="1:1">
      <c r="A650" s="81" t="s">
        <v>1156</v>
      </c>
    </row>
    <row r="651" spans="1:1">
      <c r="A651" s="81" t="s">
        <v>1157</v>
      </c>
    </row>
    <row r="652" spans="1:1">
      <c r="A652" s="81" t="s">
        <v>1158</v>
      </c>
    </row>
    <row r="653" spans="1:1">
      <c r="A653" s="81" t="s">
        <v>1159</v>
      </c>
    </row>
    <row r="654" spans="1:1">
      <c r="A654" s="81" t="s">
        <v>1160</v>
      </c>
    </row>
    <row r="655" spans="1:1">
      <c r="A655" s="81" t="s">
        <v>1161</v>
      </c>
    </row>
    <row r="656" spans="1:1">
      <c r="A656" s="81" t="s">
        <v>1162</v>
      </c>
    </row>
    <row r="657" spans="1:1">
      <c r="A657" s="81" t="s">
        <v>1163</v>
      </c>
    </row>
    <row r="658" spans="1:1">
      <c r="A658" s="81" t="s">
        <v>1164</v>
      </c>
    </row>
    <row r="659" spans="1:1">
      <c r="A659" s="81" t="s">
        <v>1165</v>
      </c>
    </row>
    <row r="660" spans="1:1">
      <c r="A660" s="81" t="s">
        <v>1166</v>
      </c>
    </row>
    <row r="661" spans="1:1">
      <c r="A661" s="81" t="s">
        <v>1167</v>
      </c>
    </row>
    <row r="662" spans="1:1">
      <c r="A662" s="81" t="s">
        <v>1168</v>
      </c>
    </row>
    <row r="663" spans="1:1">
      <c r="A663" s="81" t="s">
        <v>1169</v>
      </c>
    </row>
    <row r="664" spans="1:1">
      <c r="A664" s="81" t="s">
        <v>1170</v>
      </c>
    </row>
    <row r="665" spans="1:1">
      <c r="A665" s="81" t="s">
        <v>1171</v>
      </c>
    </row>
    <row r="666" spans="1:1">
      <c r="A666" s="81" t="s">
        <v>1172</v>
      </c>
    </row>
    <row r="667" spans="1:1">
      <c r="A667" s="81" t="s">
        <v>1173</v>
      </c>
    </row>
    <row r="668" spans="1:1">
      <c r="A668" s="81" t="s">
        <v>1174</v>
      </c>
    </row>
    <row r="669" spans="1:1">
      <c r="A669" s="81" t="s">
        <v>1175</v>
      </c>
    </row>
    <row r="670" spans="1:1">
      <c r="A670" s="81" t="s">
        <v>1176</v>
      </c>
    </row>
    <row r="671" spans="1:1">
      <c r="A671" s="81" t="s">
        <v>1177</v>
      </c>
    </row>
    <row r="672" spans="1:1">
      <c r="A672" s="81" t="s">
        <v>1178</v>
      </c>
    </row>
    <row r="673" spans="1:1">
      <c r="A673" s="81" t="s">
        <v>1179</v>
      </c>
    </row>
    <row r="674" spans="1:1">
      <c r="A674" s="81" t="s">
        <v>1180</v>
      </c>
    </row>
    <row r="675" spans="1:1">
      <c r="A675" s="81" t="s">
        <v>1181</v>
      </c>
    </row>
    <row r="676" spans="1:1">
      <c r="A676" s="81" t="s">
        <v>1182</v>
      </c>
    </row>
    <row r="677" spans="1:1">
      <c r="A677" s="81" t="s">
        <v>1183</v>
      </c>
    </row>
    <row r="678" spans="1:1">
      <c r="A678" s="81" t="s">
        <v>1184</v>
      </c>
    </row>
    <row r="679" spans="1:1">
      <c r="A679" s="81" t="s">
        <v>1185</v>
      </c>
    </row>
    <row r="680" spans="1:1">
      <c r="A680" s="81" t="s">
        <v>1186</v>
      </c>
    </row>
    <row r="681" spans="1:1">
      <c r="A681" s="81" t="s">
        <v>1187</v>
      </c>
    </row>
    <row r="682" spans="1:1">
      <c r="A682" s="81" t="s">
        <v>1188</v>
      </c>
    </row>
    <row r="683" spans="1:1">
      <c r="A683" s="81" t="s">
        <v>1189</v>
      </c>
    </row>
    <row r="684" spans="1:1">
      <c r="A684" s="81" t="s">
        <v>1190</v>
      </c>
    </row>
    <row r="685" spans="1:1">
      <c r="A685" s="81" t="s">
        <v>1191</v>
      </c>
    </row>
    <row r="686" spans="1:1">
      <c r="A686" s="81" t="s">
        <v>1192</v>
      </c>
    </row>
    <row r="687" spans="1:1">
      <c r="A687" s="81" t="s">
        <v>1193</v>
      </c>
    </row>
    <row r="688" spans="1:1">
      <c r="A688" s="81" t="s">
        <v>1194</v>
      </c>
    </row>
    <row r="689" spans="1:1">
      <c r="A689" s="81" t="s">
        <v>1195</v>
      </c>
    </row>
    <row r="690" spans="1:1">
      <c r="A690" s="81" t="s">
        <v>1196</v>
      </c>
    </row>
    <row r="691" spans="1:1">
      <c r="A691" s="81" t="s">
        <v>1197</v>
      </c>
    </row>
    <row r="692" spans="1:1">
      <c r="A692" s="81" t="s">
        <v>1198</v>
      </c>
    </row>
    <row r="693" spans="1:1">
      <c r="A693" s="81" t="s">
        <v>1199</v>
      </c>
    </row>
    <row r="694" spans="1:1">
      <c r="A694" s="81" t="s">
        <v>1200</v>
      </c>
    </row>
    <row r="695" spans="1:1">
      <c r="A695" s="81" t="s">
        <v>1201</v>
      </c>
    </row>
    <row r="696" spans="1:1">
      <c r="A696" s="81" t="s">
        <v>1202</v>
      </c>
    </row>
    <row r="697" spans="1:1">
      <c r="A697" s="81" t="s">
        <v>1203</v>
      </c>
    </row>
    <row r="698" spans="1:1">
      <c r="A698" s="81" t="s">
        <v>1204</v>
      </c>
    </row>
    <row r="699" spans="1:1">
      <c r="A699" s="81" t="s">
        <v>1205</v>
      </c>
    </row>
    <row r="700" spans="1:1">
      <c r="A700" s="81" t="s">
        <v>1206</v>
      </c>
    </row>
    <row r="701" spans="1:1">
      <c r="A701" s="81" t="s">
        <v>1207</v>
      </c>
    </row>
    <row r="702" spans="1:1">
      <c r="A702" s="81" t="s">
        <v>1208</v>
      </c>
    </row>
    <row r="703" spans="1:1">
      <c r="A703" s="81" t="s">
        <v>1209</v>
      </c>
    </row>
    <row r="704" spans="1:1">
      <c r="A704" s="81" t="s">
        <v>1210</v>
      </c>
    </row>
    <row r="705" spans="1:1">
      <c r="A705" s="81" t="s">
        <v>1211</v>
      </c>
    </row>
    <row r="706" spans="1:1">
      <c r="A706" s="81" t="s">
        <v>1212</v>
      </c>
    </row>
    <row r="707" spans="1:1">
      <c r="A707" s="81" t="s">
        <v>1213</v>
      </c>
    </row>
    <row r="708" spans="1:1">
      <c r="A708" s="81" t="s">
        <v>1214</v>
      </c>
    </row>
    <row r="709" spans="1:1">
      <c r="A709" s="81" t="s">
        <v>1215</v>
      </c>
    </row>
    <row r="710" spans="1:1">
      <c r="A710" s="81" t="s">
        <v>1216</v>
      </c>
    </row>
    <row r="711" spans="1:1">
      <c r="A711" s="81" t="s">
        <v>1217</v>
      </c>
    </row>
    <row r="712" spans="1:1">
      <c r="A712" s="81" t="s">
        <v>1218</v>
      </c>
    </row>
    <row r="713" spans="1:1">
      <c r="A713" s="81" t="s">
        <v>1219</v>
      </c>
    </row>
    <row r="714" spans="1:1">
      <c r="A714" s="81" t="s">
        <v>1220</v>
      </c>
    </row>
    <row r="715" spans="1:1">
      <c r="A715" s="81" t="s">
        <v>1221</v>
      </c>
    </row>
    <row r="716" spans="1:1">
      <c r="A716" s="81" t="s">
        <v>1222</v>
      </c>
    </row>
    <row r="717" spans="1:1">
      <c r="A717" s="81" t="s">
        <v>1223</v>
      </c>
    </row>
    <row r="718" spans="1:1">
      <c r="A718" s="81" t="s">
        <v>1224</v>
      </c>
    </row>
    <row r="719" spans="1:1">
      <c r="A719" s="81" t="s">
        <v>1225</v>
      </c>
    </row>
    <row r="720" spans="1:1">
      <c r="A720" s="81" t="s">
        <v>1226</v>
      </c>
    </row>
    <row r="721" spans="1:1">
      <c r="A721" s="81" t="s">
        <v>1227</v>
      </c>
    </row>
    <row r="722" spans="1:1">
      <c r="A722" s="81" t="s">
        <v>1228</v>
      </c>
    </row>
    <row r="723" spans="1:1">
      <c r="A723" s="81" t="s">
        <v>1229</v>
      </c>
    </row>
    <row r="724" spans="1:1">
      <c r="A724" s="81" t="s">
        <v>1230</v>
      </c>
    </row>
    <row r="725" spans="1:1">
      <c r="A725" s="81" t="s">
        <v>1231</v>
      </c>
    </row>
    <row r="726" spans="1:1">
      <c r="A726" s="81" t="s">
        <v>1232</v>
      </c>
    </row>
    <row r="727" spans="1:1">
      <c r="A727" s="81" t="s">
        <v>1233</v>
      </c>
    </row>
    <row r="728" spans="1:1">
      <c r="A728" s="81" t="s">
        <v>1234</v>
      </c>
    </row>
    <row r="729" spans="1:1">
      <c r="A729" s="81" t="s">
        <v>1235</v>
      </c>
    </row>
    <row r="730" spans="1:1">
      <c r="A730" s="81" t="s">
        <v>1236</v>
      </c>
    </row>
    <row r="731" spans="1:1">
      <c r="A731" s="81" t="s">
        <v>1237</v>
      </c>
    </row>
    <row r="732" spans="1:1">
      <c r="A732" s="81" t="s">
        <v>1238</v>
      </c>
    </row>
    <row r="733" spans="1:1">
      <c r="A733" s="81" t="s">
        <v>1239</v>
      </c>
    </row>
    <row r="734" spans="1:1">
      <c r="A734" s="81" t="s">
        <v>1240</v>
      </c>
    </row>
    <row r="735" spans="1:1">
      <c r="A735" s="81" t="s">
        <v>1241</v>
      </c>
    </row>
    <row r="736" spans="1:1">
      <c r="A736" s="81" t="s">
        <v>1242</v>
      </c>
    </row>
    <row r="737" spans="1:1">
      <c r="A737" s="81" t="s">
        <v>1243</v>
      </c>
    </row>
    <row r="738" spans="1:1">
      <c r="A738" s="81" t="s">
        <v>1244</v>
      </c>
    </row>
    <row r="739" spans="1:1">
      <c r="A739" s="81" t="s">
        <v>1245</v>
      </c>
    </row>
    <row r="740" spans="1:1">
      <c r="A740" s="81" t="s">
        <v>1246</v>
      </c>
    </row>
    <row r="741" spans="1:1">
      <c r="A741" s="81" t="s">
        <v>1247</v>
      </c>
    </row>
    <row r="742" spans="1:1">
      <c r="A742" s="81" t="s">
        <v>1248</v>
      </c>
    </row>
    <row r="743" spans="1:1">
      <c r="A743" s="81" t="s">
        <v>1249</v>
      </c>
    </row>
    <row r="744" spans="1:1">
      <c r="A744" s="81" t="s">
        <v>1250</v>
      </c>
    </row>
    <row r="745" spans="1:1">
      <c r="A745" s="81" t="s">
        <v>1251</v>
      </c>
    </row>
    <row r="746" spans="1:1">
      <c r="A746" s="81" t="s">
        <v>1252</v>
      </c>
    </row>
    <row r="747" spans="1:1">
      <c r="A747" s="81" t="s">
        <v>1253</v>
      </c>
    </row>
    <row r="748" spans="1:1">
      <c r="A748" s="81" t="s">
        <v>1254</v>
      </c>
    </row>
    <row r="749" spans="1:1">
      <c r="A749" s="81" t="s">
        <v>1255</v>
      </c>
    </row>
    <row r="750" spans="1:1">
      <c r="A750" s="81" t="s">
        <v>1256</v>
      </c>
    </row>
    <row r="751" spans="1:1">
      <c r="A751" s="81" t="s">
        <v>1257</v>
      </c>
    </row>
    <row r="752" spans="1:1">
      <c r="A752" s="81" t="s">
        <v>1258</v>
      </c>
    </row>
    <row r="753" spans="1:1">
      <c r="A753" s="81" t="s">
        <v>1259</v>
      </c>
    </row>
    <row r="754" spans="1:1">
      <c r="A754" s="81" t="s">
        <v>1260</v>
      </c>
    </row>
    <row r="755" spans="1:1">
      <c r="A755" s="81" t="s">
        <v>1261</v>
      </c>
    </row>
    <row r="756" spans="1:1">
      <c r="A756" s="81" t="s">
        <v>1262</v>
      </c>
    </row>
    <row r="757" spans="1:1">
      <c r="A757" s="81" t="s">
        <v>1263</v>
      </c>
    </row>
    <row r="758" spans="1:1">
      <c r="A758" s="81" t="s">
        <v>1264</v>
      </c>
    </row>
    <row r="759" spans="1:1">
      <c r="A759" s="81" t="s">
        <v>1265</v>
      </c>
    </row>
    <row r="760" spans="1:1">
      <c r="A760" s="81" t="s">
        <v>1266</v>
      </c>
    </row>
    <row r="761" spans="1:1">
      <c r="A761" s="81" t="s">
        <v>1267</v>
      </c>
    </row>
    <row r="762" spans="1:1">
      <c r="A762" s="81" t="s">
        <v>1268</v>
      </c>
    </row>
    <row r="763" spans="1:1">
      <c r="A763" s="81" t="s">
        <v>1269</v>
      </c>
    </row>
    <row r="764" spans="1:1">
      <c r="A764" s="81" t="s">
        <v>1270</v>
      </c>
    </row>
    <row r="765" spans="1:1">
      <c r="A765" s="81" t="s">
        <v>1271</v>
      </c>
    </row>
    <row r="766" spans="1:1">
      <c r="A766" s="81" t="s">
        <v>1272</v>
      </c>
    </row>
    <row r="767" spans="1:1">
      <c r="A767" s="81" t="s">
        <v>1273</v>
      </c>
    </row>
    <row r="768" spans="1:1">
      <c r="A768" s="81" t="s">
        <v>1274</v>
      </c>
    </row>
    <row r="769" spans="1:1">
      <c r="A769" s="81" t="s">
        <v>1275</v>
      </c>
    </row>
    <row r="770" spans="1:1">
      <c r="A770" s="81" t="s">
        <v>1276</v>
      </c>
    </row>
    <row r="771" spans="1:1">
      <c r="A771" s="81" t="s">
        <v>1277</v>
      </c>
    </row>
    <row r="772" spans="1:1">
      <c r="A772" s="81" t="s">
        <v>1278</v>
      </c>
    </row>
    <row r="773" spans="1:1">
      <c r="A773" s="81" t="s">
        <v>1279</v>
      </c>
    </row>
    <row r="774" spans="1:1">
      <c r="A774" s="81" t="s">
        <v>1280</v>
      </c>
    </row>
    <row r="775" spans="1:1">
      <c r="A775" s="81" t="s">
        <v>1281</v>
      </c>
    </row>
    <row r="776" spans="1:1">
      <c r="A776" s="81" t="s">
        <v>1282</v>
      </c>
    </row>
    <row r="777" spans="1:1">
      <c r="A777" s="81" t="s">
        <v>1283</v>
      </c>
    </row>
    <row r="778" spans="1:1">
      <c r="A778" s="81" t="s">
        <v>1284</v>
      </c>
    </row>
    <row r="779" spans="1:1">
      <c r="A779" s="81" t="s">
        <v>1285</v>
      </c>
    </row>
    <row r="780" spans="1:1">
      <c r="A780" s="81" t="s">
        <v>1286</v>
      </c>
    </row>
    <row r="781" spans="1:1">
      <c r="A781" s="81" t="s">
        <v>1287</v>
      </c>
    </row>
    <row r="782" spans="1:1">
      <c r="A782" s="81" t="s">
        <v>1288</v>
      </c>
    </row>
    <row r="783" spans="1:1">
      <c r="A783" s="81" t="s">
        <v>1289</v>
      </c>
    </row>
    <row r="784" spans="1:1">
      <c r="A784" s="81" t="s">
        <v>1290</v>
      </c>
    </row>
    <row r="785" spans="1:1">
      <c r="A785" s="81" t="s">
        <v>1291</v>
      </c>
    </row>
    <row r="786" spans="1:1">
      <c r="A786" s="81" t="s">
        <v>1292</v>
      </c>
    </row>
    <row r="787" spans="1:1">
      <c r="A787" s="81" t="s">
        <v>1293</v>
      </c>
    </row>
    <row r="788" spans="1:1">
      <c r="A788" s="81" t="s">
        <v>1294</v>
      </c>
    </row>
    <row r="789" spans="1:1">
      <c r="A789" s="81" t="s">
        <v>1295</v>
      </c>
    </row>
    <row r="790" spans="1:1">
      <c r="A790" s="81" t="s">
        <v>1296</v>
      </c>
    </row>
    <row r="791" spans="1:1">
      <c r="A791" s="81" t="s">
        <v>1297</v>
      </c>
    </row>
    <row r="792" spans="1:1">
      <c r="A792" s="81" t="s">
        <v>1298</v>
      </c>
    </row>
    <row r="793" spans="1:1">
      <c r="A793" s="81" t="s">
        <v>1299</v>
      </c>
    </row>
    <row r="794" spans="1:1">
      <c r="A794" s="81" t="s">
        <v>1300</v>
      </c>
    </row>
    <row r="795" spans="1:1">
      <c r="A795" s="81" t="s">
        <v>1301</v>
      </c>
    </row>
    <row r="796" spans="1:1">
      <c r="A796" s="81" t="s">
        <v>1302</v>
      </c>
    </row>
    <row r="797" spans="1:1">
      <c r="A797" s="81" t="s">
        <v>1303</v>
      </c>
    </row>
    <row r="798" spans="1:1">
      <c r="A798" s="81" t="s">
        <v>1304</v>
      </c>
    </row>
    <row r="799" spans="1:1">
      <c r="A799" s="81" t="s">
        <v>1305</v>
      </c>
    </row>
    <row r="800" spans="1:1">
      <c r="A800" s="81" t="s">
        <v>1306</v>
      </c>
    </row>
    <row r="801" spans="1:1">
      <c r="A801" s="81" t="s">
        <v>1307</v>
      </c>
    </row>
    <row r="802" spans="1:1">
      <c r="A802" s="81" t="s">
        <v>1308</v>
      </c>
    </row>
    <row r="803" spans="1:1">
      <c r="A803" s="81" t="s">
        <v>1309</v>
      </c>
    </row>
    <row r="804" spans="1:1">
      <c r="A804" s="81" t="s">
        <v>1310</v>
      </c>
    </row>
    <row r="805" spans="1:1">
      <c r="A805" s="81" t="s">
        <v>1311</v>
      </c>
    </row>
    <row r="806" spans="1:1">
      <c r="A806" s="81" t="s">
        <v>1312</v>
      </c>
    </row>
    <row r="807" spans="1:1">
      <c r="A807" s="81" t="s">
        <v>1313</v>
      </c>
    </row>
    <row r="808" spans="1:1">
      <c r="A808" s="81" t="s">
        <v>1314</v>
      </c>
    </row>
    <row r="809" spans="1:1">
      <c r="A809" s="81" t="s">
        <v>1315</v>
      </c>
    </row>
    <row r="810" spans="1:1">
      <c r="A810" s="81" t="s">
        <v>1316</v>
      </c>
    </row>
    <row r="811" spans="1:1">
      <c r="A811" s="81" t="s">
        <v>1317</v>
      </c>
    </row>
    <row r="812" spans="1:1">
      <c r="A812" s="81" t="s">
        <v>1318</v>
      </c>
    </row>
    <row r="813" spans="1:1">
      <c r="A813" s="81" t="s">
        <v>1319</v>
      </c>
    </row>
    <row r="814" spans="1:1">
      <c r="A814" s="81" t="s">
        <v>1320</v>
      </c>
    </row>
    <row r="815" spans="1:1">
      <c r="A815" s="81" t="s">
        <v>1321</v>
      </c>
    </row>
    <row r="816" spans="1:1">
      <c r="A816" s="81" t="s">
        <v>1322</v>
      </c>
    </row>
    <row r="817" spans="1:1">
      <c r="A817" s="81" t="s">
        <v>1323</v>
      </c>
    </row>
    <row r="818" spans="1:1">
      <c r="A818" s="81" t="s">
        <v>1324</v>
      </c>
    </row>
    <row r="819" spans="1:1">
      <c r="A819" s="81" t="s">
        <v>1325</v>
      </c>
    </row>
    <row r="820" spans="1:1">
      <c r="A820" s="81" t="s">
        <v>1326</v>
      </c>
    </row>
    <row r="821" spans="1:1">
      <c r="A821" s="81" t="s">
        <v>1327</v>
      </c>
    </row>
    <row r="822" spans="1:1">
      <c r="A822" s="81" t="s">
        <v>1328</v>
      </c>
    </row>
    <row r="823" spans="1:1">
      <c r="A823" s="81" t="s">
        <v>1329</v>
      </c>
    </row>
    <row r="824" spans="1:1">
      <c r="A824" s="81" t="s">
        <v>1330</v>
      </c>
    </row>
    <row r="825" spans="1:1">
      <c r="A825" s="81" t="s">
        <v>1331</v>
      </c>
    </row>
    <row r="826" spans="1:1">
      <c r="A826" s="81" t="s">
        <v>1332</v>
      </c>
    </row>
    <row r="827" spans="1:1">
      <c r="A827" s="81" t="s">
        <v>1333</v>
      </c>
    </row>
    <row r="828" spans="1:1">
      <c r="A828" s="81" t="s">
        <v>1334</v>
      </c>
    </row>
    <row r="829" spans="1:1">
      <c r="A829" s="81" t="s">
        <v>1335</v>
      </c>
    </row>
    <row r="830" spans="1:1">
      <c r="A830" s="81" t="s">
        <v>1336</v>
      </c>
    </row>
    <row r="831" spans="1:1">
      <c r="A831" s="81" t="s">
        <v>1337</v>
      </c>
    </row>
    <row r="832" spans="1:1">
      <c r="A832" s="81" t="s">
        <v>1338</v>
      </c>
    </row>
    <row r="833" spans="1:1">
      <c r="A833" s="81" t="s">
        <v>1339</v>
      </c>
    </row>
    <row r="834" spans="1:1">
      <c r="A834" s="81" t="s">
        <v>1340</v>
      </c>
    </row>
    <row r="835" spans="1:1">
      <c r="A835" s="81" t="s">
        <v>1341</v>
      </c>
    </row>
    <row r="836" spans="1:1">
      <c r="A836" s="81" t="s">
        <v>1342</v>
      </c>
    </row>
    <row r="837" spans="1:1">
      <c r="A837" s="81" t="s">
        <v>1343</v>
      </c>
    </row>
    <row r="838" spans="1:1">
      <c r="A838" s="81" t="s">
        <v>1344</v>
      </c>
    </row>
    <row r="839" spans="1:1">
      <c r="A839" s="81" t="s">
        <v>1345</v>
      </c>
    </row>
    <row r="840" spans="1:1">
      <c r="A840" s="81" t="s">
        <v>1346</v>
      </c>
    </row>
    <row r="841" spans="1:1">
      <c r="A841" s="81" t="s">
        <v>1347</v>
      </c>
    </row>
    <row r="842" spans="1:1">
      <c r="A842" s="81" t="s">
        <v>1348</v>
      </c>
    </row>
    <row r="843" spans="1:1">
      <c r="A843" s="81" t="s">
        <v>1349</v>
      </c>
    </row>
    <row r="844" spans="1:1">
      <c r="A844" s="81" t="s">
        <v>1350</v>
      </c>
    </row>
    <row r="845" spans="1:1">
      <c r="A845" s="81" t="s">
        <v>1351</v>
      </c>
    </row>
    <row r="846" spans="1:1">
      <c r="A846" s="81" t="s">
        <v>1352</v>
      </c>
    </row>
    <row r="847" spans="1:1">
      <c r="A847" s="81" t="s">
        <v>1353</v>
      </c>
    </row>
    <row r="848" spans="1:1">
      <c r="A848" s="81" t="s">
        <v>1354</v>
      </c>
    </row>
    <row r="849" spans="1:1">
      <c r="A849" s="81" t="s">
        <v>1355</v>
      </c>
    </row>
    <row r="850" spans="1:1">
      <c r="A850" s="81" t="s">
        <v>1356</v>
      </c>
    </row>
    <row r="851" spans="1:1">
      <c r="A851" s="81" t="s">
        <v>1357</v>
      </c>
    </row>
    <row r="852" spans="1:1">
      <c r="A852" s="81" t="s">
        <v>1358</v>
      </c>
    </row>
    <row r="853" spans="1:1">
      <c r="A853" s="81" t="s">
        <v>1359</v>
      </c>
    </row>
    <row r="854" spans="1:1">
      <c r="A854" s="81" t="s">
        <v>1360</v>
      </c>
    </row>
    <row r="855" spans="1:1">
      <c r="A855" s="81" t="s">
        <v>1361</v>
      </c>
    </row>
    <row r="856" spans="1:1">
      <c r="A856" s="81" t="s">
        <v>1362</v>
      </c>
    </row>
    <row r="857" spans="1:1">
      <c r="A857" s="81" t="s">
        <v>1363</v>
      </c>
    </row>
    <row r="858" spans="1:1">
      <c r="A858" s="81" t="s">
        <v>1364</v>
      </c>
    </row>
    <row r="859" spans="1:1">
      <c r="A859" s="81" t="s">
        <v>1365</v>
      </c>
    </row>
    <row r="860" spans="1:1">
      <c r="A860" s="81" t="s">
        <v>1366</v>
      </c>
    </row>
    <row r="861" spans="1:1">
      <c r="A861" s="81" t="s">
        <v>1367</v>
      </c>
    </row>
    <row r="862" spans="1:1">
      <c r="A862" s="81" t="s">
        <v>1368</v>
      </c>
    </row>
    <row r="863" spans="1:1">
      <c r="A863" s="81" t="s">
        <v>1369</v>
      </c>
    </row>
    <row r="864" spans="1:1">
      <c r="A864" s="81" t="s">
        <v>1370</v>
      </c>
    </row>
    <row r="865" spans="1:1">
      <c r="A865" s="81" t="s">
        <v>1371</v>
      </c>
    </row>
    <row r="866" spans="1:1">
      <c r="A866" s="81" t="s">
        <v>1372</v>
      </c>
    </row>
    <row r="867" spans="1:1">
      <c r="A867" s="81" t="s">
        <v>1373</v>
      </c>
    </row>
    <row r="868" spans="1:1">
      <c r="A868" s="81" t="s">
        <v>1374</v>
      </c>
    </row>
    <row r="869" spans="1:1">
      <c r="A869" s="81" t="s">
        <v>1375</v>
      </c>
    </row>
    <row r="870" spans="1:1">
      <c r="A870" s="81" t="s">
        <v>1376</v>
      </c>
    </row>
    <row r="871" spans="1:1">
      <c r="A871" s="81" t="s">
        <v>1377</v>
      </c>
    </row>
    <row r="872" spans="1:1">
      <c r="A872" s="81" t="s">
        <v>1378</v>
      </c>
    </row>
    <row r="873" spans="1:1">
      <c r="A873" s="81" t="s">
        <v>1379</v>
      </c>
    </row>
    <row r="874" spans="1:1">
      <c r="A874" s="81" t="s">
        <v>1380</v>
      </c>
    </row>
    <row r="875" spans="1:1">
      <c r="A875" s="81" t="s">
        <v>1381</v>
      </c>
    </row>
    <row r="876" spans="1:1">
      <c r="A876" s="81" t="s">
        <v>1382</v>
      </c>
    </row>
    <row r="877" spans="1:1">
      <c r="A877" s="81" t="s">
        <v>1383</v>
      </c>
    </row>
    <row r="878" spans="1:1">
      <c r="A878" s="81" t="s">
        <v>1384</v>
      </c>
    </row>
    <row r="879" spans="1:1">
      <c r="A879" s="81" t="s">
        <v>1385</v>
      </c>
    </row>
    <row r="880" spans="1:1">
      <c r="A880" s="81" t="s">
        <v>1386</v>
      </c>
    </row>
    <row r="881" spans="1:1">
      <c r="A881" s="81" t="s">
        <v>1387</v>
      </c>
    </row>
    <row r="882" spans="1:1">
      <c r="A882" s="81" t="s">
        <v>1388</v>
      </c>
    </row>
    <row r="883" spans="1:1">
      <c r="A883" s="81" t="s">
        <v>1389</v>
      </c>
    </row>
    <row r="884" spans="1:1">
      <c r="A884" s="81" t="s">
        <v>1390</v>
      </c>
    </row>
    <row r="885" spans="1:1">
      <c r="A885" s="81" t="s">
        <v>1391</v>
      </c>
    </row>
    <row r="886" spans="1:1">
      <c r="A886" s="81" t="s">
        <v>1392</v>
      </c>
    </row>
    <row r="887" spans="1:1">
      <c r="A887" s="81" t="s">
        <v>1393</v>
      </c>
    </row>
    <row r="888" spans="1:1">
      <c r="A888" s="81" t="s">
        <v>1394</v>
      </c>
    </row>
    <row r="889" spans="1:1">
      <c r="A889" s="81" t="s">
        <v>1395</v>
      </c>
    </row>
    <row r="890" spans="1:1">
      <c r="A890" s="81" t="s">
        <v>1396</v>
      </c>
    </row>
    <row r="891" spans="1:1">
      <c r="A891" s="81" t="s">
        <v>1397</v>
      </c>
    </row>
    <row r="892" spans="1:1">
      <c r="A892" s="81" t="s">
        <v>1398</v>
      </c>
    </row>
    <row r="893" spans="1:1">
      <c r="A893" s="81" t="s">
        <v>1399</v>
      </c>
    </row>
    <row r="894" spans="1:1">
      <c r="A894" s="81" t="s">
        <v>1400</v>
      </c>
    </row>
    <row r="895" spans="1:1">
      <c r="A895" s="81" t="s">
        <v>1401</v>
      </c>
    </row>
    <row r="896" spans="1:1">
      <c r="A896" s="81" t="s">
        <v>1402</v>
      </c>
    </row>
    <row r="897" spans="1:1">
      <c r="A897" s="81" t="s">
        <v>1403</v>
      </c>
    </row>
    <row r="898" spans="1:1">
      <c r="A898" s="81" t="s">
        <v>1404</v>
      </c>
    </row>
    <row r="899" spans="1:1">
      <c r="A899" s="81" t="s">
        <v>1405</v>
      </c>
    </row>
    <row r="900" spans="1:1">
      <c r="A900" s="81" t="s">
        <v>1406</v>
      </c>
    </row>
    <row r="901" spans="1:1">
      <c r="A901" s="81" t="s">
        <v>1407</v>
      </c>
    </row>
    <row r="902" spans="1:1">
      <c r="A902" s="81" t="s">
        <v>1408</v>
      </c>
    </row>
    <row r="903" spans="1:1">
      <c r="A903" s="81" t="s">
        <v>1409</v>
      </c>
    </row>
    <row r="904" spans="1:1">
      <c r="A904" s="81" t="s">
        <v>1410</v>
      </c>
    </row>
    <row r="905" spans="1:1">
      <c r="A905" s="81" t="s">
        <v>1411</v>
      </c>
    </row>
    <row r="906" spans="1:1">
      <c r="A906" s="81" t="s">
        <v>1412</v>
      </c>
    </row>
    <row r="907" spans="1:1">
      <c r="A907" s="81" t="s">
        <v>1413</v>
      </c>
    </row>
    <row r="908" spans="1:1">
      <c r="A908" s="81" t="s">
        <v>1414</v>
      </c>
    </row>
    <row r="909" spans="1:1">
      <c r="A909" s="81" t="s">
        <v>1415</v>
      </c>
    </row>
    <row r="910" spans="1:1">
      <c r="A910" s="81" t="s">
        <v>1416</v>
      </c>
    </row>
    <row r="911" spans="1:1">
      <c r="A911" s="81" t="s">
        <v>1417</v>
      </c>
    </row>
    <row r="912" spans="1:1">
      <c r="A912" s="81" t="s">
        <v>1418</v>
      </c>
    </row>
    <row r="913" spans="1:1">
      <c r="A913" s="81" t="s">
        <v>1419</v>
      </c>
    </row>
    <row r="914" spans="1:1">
      <c r="A914" s="81" t="s">
        <v>1420</v>
      </c>
    </row>
    <row r="915" spans="1:1">
      <c r="A915" s="81" t="s">
        <v>1421</v>
      </c>
    </row>
    <row r="916" spans="1:1">
      <c r="A916" s="81" t="s">
        <v>1422</v>
      </c>
    </row>
    <row r="917" spans="1:1">
      <c r="A917" s="81" t="s">
        <v>1423</v>
      </c>
    </row>
    <row r="918" spans="1:1">
      <c r="A918" s="81" t="s">
        <v>1424</v>
      </c>
    </row>
    <row r="919" spans="1:1">
      <c r="A919" s="81" t="s">
        <v>1425</v>
      </c>
    </row>
    <row r="920" spans="1:1">
      <c r="A920" s="81" t="s">
        <v>1426</v>
      </c>
    </row>
    <row r="921" spans="1:1">
      <c r="A921" s="81" t="s">
        <v>1427</v>
      </c>
    </row>
    <row r="922" spans="1:1">
      <c r="A922" s="81" t="s">
        <v>1428</v>
      </c>
    </row>
    <row r="923" spans="1:1">
      <c r="A923" s="81" t="s">
        <v>1429</v>
      </c>
    </row>
    <row r="924" spans="1:1">
      <c r="A924" s="81" t="s">
        <v>1430</v>
      </c>
    </row>
    <row r="925" spans="1:1">
      <c r="A925" s="81" t="s">
        <v>1431</v>
      </c>
    </row>
    <row r="926" spans="1:1">
      <c r="A926" s="81" t="s">
        <v>1432</v>
      </c>
    </row>
    <row r="927" spans="1:1">
      <c r="A927" s="81" t="s">
        <v>1433</v>
      </c>
    </row>
    <row r="928" spans="1:1">
      <c r="A928" s="81" t="s">
        <v>1434</v>
      </c>
    </row>
    <row r="929" spans="1:1">
      <c r="A929" s="81" t="s">
        <v>1435</v>
      </c>
    </row>
    <row r="930" spans="1:1">
      <c r="A930" s="81" t="s">
        <v>1436</v>
      </c>
    </row>
    <row r="931" spans="1:1">
      <c r="A931" s="81" t="s">
        <v>1437</v>
      </c>
    </row>
    <row r="932" spans="1:1">
      <c r="A932" s="81" t="s">
        <v>1438</v>
      </c>
    </row>
    <row r="933" spans="1:1">
      <c r="A933" s="81" t="s">
        <v>1439</v>
      </c>
    </row>
    <row r="934" spans="1:1">
      <c r="A934" s="81" t="s">
        <v>1440</v>
      </c>
    </row>
    <row r="935" spans="1:1">
      <c r="A935" s="81" t="s">
        <v>1441</v>
      </c>
    </row>
    <row r="936" spans="1:1">
      <c r="A936" s="81" t="s">
        <v>1442</v>
      </c>
    </row>
    <row r="937" spans="1:1">
      <c r="A937" s="81" t="s">
        <v>1443</v>
      </c>
    </row>
    <row r="938" spans="1:1">
      <c r="A938" s="81" t="s">
        <v>1444</v>
      </c>
    </row>
    <row r="939" spans="1:1">
      <c r="A939" s="81" t="s">
        <v>1445</v>
      </c>
    </row>
    <row r="940" spans="1:1">
      <c r="A940" s="81" t="s">
        <v>1446</v>
      </c>
    </row>
    <row r="941" spans="1:1">
      <c r="A941" s="81" t="s">
        <v>1447</v>
      </c>
    </row>
    <row r="942" spans="1:1">
      <c r="A942" s="81" t="s">
        <v>1448</v>
      </c>
    </row>
    <row r="943" spans="1:1">
      <c r="A943" s="81" t="s">
        <v>1449</v>
      </c>
    </row>
    <row r="944" spans="1:1">
      <c r="A944" s="81" t="s">
        <v>1450</v>
      </c>
    </row>
    <row r="945" spans="1:1">
      <c r="A945" s="81" t="s">
        <v>1451</v>
      </c>
    </row>
    <row r="946" spans="1:1">
      <c r="A946" s="81" t="s">
        <v>1452</v>
      </c>
    </row>
    <row r="947" spans="1:1">
      <c r="A947" s="81" t="s">
        <v>1453</v>
      </c>
    </row>
    <row r="948" spans="1:1">
      <c r="A948" s="81" t="s">
        <v>1454</v>
      </c>
    </row>
    <row r="949" spans="1:1">
      <c r="A949" s="81" t="s">
        <v>1455</v>
      </c>
    </row>
    <row r="950" spans="1:1">
      <c r="A950" s="81" t="s">
        <v>1456</v>
      </c>
    </row>
    <row r="951" spans="1:1">
      <c r="A951" s="81" t="s">
        <v>1457</v>
      </c>
    </row>
    <row r="952" spans="1:1">
      <c r="A952" s="81" t="s">
        <v>1458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Mode 9 PIDS</vt:lpstr>
      <vt:lpstr>OBD PIDs</vt:lpstr>
      <vt:lpstr>MBE Responses Faults</vt:lpstr>
      <vt:lpstr>Values</vt:lpstr>
      <vt:lpstr>Diagnostics Reference</vt:lpstr>
      <vt:lpstr>OBD DTC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Scullard</dc:creator>
  <cp:lastModifiedBy>Greg Scullard</cp:lastModifiedBy>
  <dcterms:created xsi:type="dcterms:W3CDTF">2016-10-01T08:15:25Z</dcterms:created>
  <dcterms:modified xsi:type="dcterms:W3CDTF">2017-03-13T20:58:42Z</dcterms:modified>
</cp:coreProperties>
</file>